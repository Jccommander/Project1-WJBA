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magill4\Desktop\"/>
    </mc:Choice>
  </mc:AlternateContent>
  <xr:revisionPtr revIDLastSave="0" documentId="10_ncr:8100000_{51D365B3-104F-4EFC-959A-E8093C9FA0AD}" xr6:coauthVersionLast="34" xr6:coauthVersionMax="34" xr10:uidLastSave="{00000000-0000-0000-0000-000000000000}"/>
  <bookViews>
    <workbookView xWindow="0" yWindow="0" windowWidth="19200" windowHeight="6648" xr2:uid="{FA3A2BC6-5828-4E01-9390-1325712368D4}"/>
  </bookViews>
  <sheets>
    <sheet name="COMPILED" sheetId="14" r:id="rId1"/>
    <sheet name="MLS" sheetId="4" r:id="rId2"/>
    <sheet name="EPL" sheetId="3" r:id="rId3"/>
    <sheet name="Bundesliga" sheetId="6" r:id="rId4"/>
    <sheet name="La Liga" sheetId="7" r:id="rId5"/>
    <sheet name="Seria A" sheetId="8" r:id="rId6"/>
    <sheet name="Ligue1" sheetId="9" r:id="rId7"/>
    <sheet name="Portugal" sheetId="18" r:id="rId8"/>
  </sheets>
  <definedNames>
    <definedName name="ExternalData_1" localSheetId="3" hidden="1">Bundesliga!$A$1:$D$19</definedName>
    <definedName name="ExternalData_1" localSheetId="0" hidden="1">COMPILED!$B$1:$E$140</definedName>
    <definedName name="ExternalData_1" localSheetId="2" hidden="1">EPL!$A$1:$D$21</definedName>
    <definedName name="ExternalData_1" localSheetId="4" hidden="1">'La Liga'!$A$1:$D$21</definedName>
    <definedName name="ExternalData_1" localSheetId="6" hidden="1">Ligue1!$A$1:$D$21</definedName>
    <definedName name="ExternalData_1" localSheetId="1" hidden="1">MLS!$A$1:$E$24</definedName>
    <definedName name="ExternalData_1" localSheetId="7" hidden="1">Portugal!$A$1:$E$19</definedName>
    <definedName name="ExternalData_1" localSheetId="5" hidden="1">'Seria A'!$A$1:$D$21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PL_f8cb0346-4504-4588-a793-2c7f71e927f1" name="EPL" connection="Query - EPL1"/>
          <x15:modelTable id="La Liga_4d77bc12-2362-412b-b7d7-308c0d03b825" name="La Liga" connection="Query - La Liga1"/>
          <x15:modelTable id="Bundesliga_1e7ea4a6-567f-41dd-be77-fa19a4459d3c" name="Bundesliga" connection="Query - Bundesliga1"/>
          <x15:modelTable id="Seria A_ab49880a-bb0f-4330-a553-c0690620a62a" name="Seria A" connection="Query - Seria A"/>
          <x15:modelTable id="Ligue1_846f923c-4252-459e-9575-7bacbd445a46" name="Ligue1" connection="Query - Ligue11"/>
        </x15:modelTables>
      </x15:dataModel>
    </ext>
  </extLst>
</workbook>
</file>

<file path=xl/calcChain.xml><?xml version="1.0" encoding="utf-8"?>
<calcChain xmlns="http://schemas.openxmlformats.org/spreadsheetml/2006/main">
  <c r="J10" i="14" l="1"/>
  <c r="K10" i="14"/>
  <c r="J19" i="14"/>
  <c r="K19" i="14"/>
  <c r="K23" i="14"/>
  <c r="K24" i="14"/>
  <c r="E2" i="3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67074A-3CF2-4248-AF4B-8C0C9F6FD846}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2" xr16:uid="{0343E625-994A-445E-B0F5-E06A2AFAD29C}" keepAlive="1" name="Query - Bundesliga" type="5" refreshedVersion="6" deleted="1" background="1">
    <dbPr connection="" command=""/>
  </connection>
  <connection id="3" xr16:uid="{96B66302-7265-4D95-BE83-84DD2311D1D8}" name="Query - Bundesliga1" description="Connection to the 'Bundesliga' query in the workbook." type="100" refreshedVersion="6" minRefreshableVersion="5">
    <extLst>
      <ext xmlns:x15="http://schemas.microsoft.com/office/spreadsheetml/2010/11/main" uri="{DE250136-89BD-433C-8126-D09CA5730AF9}">
        <x15:connection id="9392d093-7d12-4da8-99fd-6b4ccf96343f"/>
      </ext>
    </extLst>
  </connection>
  <connection id="4" xr16:uid="{5E2A71EC-F661-44C4-A2F8-F61D3590CE25}" keepAlive="1" name="Query - EPL" type="5" refreshedVersion="6" deleted="1" background="1" saveData="1">
    <dbPr connection="" command=""/>
  </connection>
  <connection id="5" xr16:uid="{B362A428-EE34-46C8-ACBA-45065AECCCC8}" name="Query - EPL1" description="Connection to the 'EPL' query in the workbook." type="100" refreshedVersion="6" minRefreshableVersion="5">
    <extLst>
      <ext xmlns:x15="http://schemas.microsoft.com/office/spreadsheetml/2010/11/main" uri="{DE250136-89BD-433C-8126-D09CA5730AF9}">
        <x15:connection id="7c280ac0-a8a4-4b9b-84c8-ea12c6150e1e"/>
      </ext>
    </extLst>
  </connection>
  <connection id="6" xr16:uid="{F24D5947-27D8-457E-A4DB-73B34C93C79B}" keepAlive="1" name="Query - La Liga" type="5" refreshedVersion="6" deleted="1" background="1" saveData="1">
    <dbPr connection="" command=""/>
  </connection>
  <connection id="7" xr16:uid="{B55A37E7-0305-4E32-A416-B0CDE4697F1A}" name="Query - La Liga1" description="Connection to the 'La Liga' query in the workbook." type="100" refreshedVersion="6" minRefreshableVersion="5">
    <extLst>
      <ext xmlns:x15="http://schemas.microsoft.com/office/spreadsheetml/2010/11/main" uri="{DE250136-89BD-433C-8126-D09CA5730AF9}">
        <x15:connection id="da449efb-2744-4bda-a3bf-a3bc9acd47e7"/>
      </ext>
    </extLst>
  </connection>
  <connection id="8" xr16:uid="{E1CE616B-69B0-482B-BEB8-02C2F125039E}" keepAlive="1" name="Query - Ligue1" type="5" refreshedVersion="6" deleted="1" background="1" saveData="1">
    <dbPr connection="" command=""/>
  </connection>
  <connection id="9" xr16:uid="{40D4B6A1-2E73-457F-AD1F-E80CC2C28C22}" name="Query - Ligue11" description="Connection to the 'Ligue1' query in the workbook." type="100" refreshedVersion="6" minRefreshableVersion="5">
    <extLst>
      <ext xmlns:x15="http://schemas.microsoft.com/office/spreadsheetml/2010/11/main" uri="{DE250136-89BD-433C-8126-D09CA5730AF9}">
        <x15:connection id="5540e41d-728a-4831-b0f1-f3ba6b122a5f"/>
      </ext>
    </extLst>
  </connection>
  <connection id="10" xr16:uid="{7E2DA915-1153-4C28-8DA8-B807A49D27B6}" keepAlive="1" name="Query - MLS" description="Connection to the 'MLS' query in the workbook." type="5" refreshedVersion="6" background="1" saveData="1">
    <dbPr connection="Provider=Microsoft.Mashup.OleDb.1;Data Source=$Workbook$;Location=MLS;Extended Properties=&quot;&quot;" command="SELECT * FROM [MLS]"/>
  </connection>
  <connection id="11" xr16:uid="{47577F88-2842-483F-A239-80FD3CDA354C}" keepAlive="1" name="Query - Portugal" description="Connection to the 'Portugal' query in the workbook." type="5" refreshedVersion="6" background="1" saveData="1">
    <dbPr connection="Provider=Microsoft.Mashup.OleDb.1;Data Source=$Workbook$;Location=Portugal;Extended Properties=&quot;&quot;" command="SELECT * FROM [Portugal]"/>
  </connection>
  <connection id="12" xr16:uid="{5E66B7C0-0064-40E5-9C73-39B2FB643E15}" name="Query - Seria A" description="Connection to the 'Seria A' query in the workbook." type="100" refreshedVersion="6" minRefreshableVersion="5">
    <extLst>
      <ext xmlns:x15="http://schemas.microsoft.com/office/spreadsheetml/2010/11/main" uri="{DE250136-89BD-433C-8126-D09CA5730AF9}">
        <x15:connection id="ee2c7aa2-d912-4627-a9f7-0fc77dd1b42e"/>
      </ext>
    </extLst>
  </connection>
  <connection id="13" xr16:uid="{85786AFE-8363-4D3A-A80C-528651DCADB9}" keepAlive="1" name="Query - Serie A" type="5" refreshedVersion="6" deleted="1" background="1" saveData="1">
    <dbPr connection="" command=""/>
  </connection>
  <connection id="14" xr16:uid="{7D9D4D71-632C-42A9-9715-FD778327144B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<sst xmlns="http://schemas.openxmlformats.org/spreadsheetml/2006/main" count="320" uniqueCount="146">
  <si>
    <t>Team</t>
  </si>
  <si>
    <t>Average</t>
  </si>
  <si>
    <t>Total</t>
  </si>
  <si>
    <t>Rank</t>
  </si>
  <si>
    <t>Matches</t>
  </si>
  <si>
    <t>Manchester United</t>
  </si>
  <si>
    <t>Tottenham Hotspur</t>
  </si>
  <si>
    <t>Arsenal FC</t>
  </si>
  <si>
    <t>West Ham United</t>
  </si>
  <si>
    <t>Manchester City</t>
  </si>
  <si>
    <t>Liverpool FC</t>
  </si>
  <si>
    <t>Newcastle United</t>
  </si>
  <si>
    <t>Chelsea FC</t>
  </si>
  <si>
    <t>Everton FC</t>
  </si>
  <si>
    <t>Leicester City</t>
  </si>
  <si>
    <t>Southampton FC</t>
  </si>
  <si>
    <t>Brighton &amp; Hove Albion</t>
  </si>
  <si>
    <t>Stoke City</t>
  </si>
  <si>
    <t>Crystal Palace</t>
  </si>
  <si>
    <t>West Bromwich Albion</t>
  </si>
  <si>
    <t>Huddersfield Town</t>
  </si>
  <si>
    <t>Burnley FC</t>
  </si>
  <si>
    <t>Swansea City</t>
  </si>
  <si>
    <t>Watford FC</t>
  </si>
  <si>
    <t>AFC Bournemouth</t>
  </si>
  <si>
    <t>Borussia Dortmund</t>
  </si>
  <si>
    <t>Bayern München</t>
  </si>
  <si>
    <t>FC Schalke 04</t>
  </si>
  <si>
    <t>VfB Stuttgart</t>
  </si>
  <si>
    <t>Hamburger SV</t>
  </si>
  <si>
    <t>Eintracht Frankfurt</t>
  </si>
  <si>
    <t>Hertha BSC</t>
  </si>
  <si>
    <t>Hannover 96</t>
  </si>
  <si>
    <t>Werder Bremen</t>
  </si>
  <si>
    <t>RB Leipzig</t>
  </si>
  <si>
    <t>1899 Hoffenheim</t>
  </si>
  <si>
    <t>Bayer Leverkusen</t>
  </si>
  <si>
    <t>FC Augsburg</t>
  </si>
  <si>
    <t>VfL Wolfsburg</t>
  </si>
  <si>
    <t>SC Freiburg</t>
  </si>
  <si>
    <t>FC Barcelona</t>
  </si>
  <si>
    <t>Real Madrid</t>
  </si>
  <si>
    <t>Atlético Madrid</t>
  </si>
  <si>
    <t>Real Betis</t>
  </si>
  <si>
    <t>Valencia CF</t>
  </si>
  <si>
    <t>Athletic Bilbao</t>
  </si>
  <si>
    <t>Sevilla FC</t>
  </si>
  <si>
    <t>Deportivo La Coruña</t>
  </si>
  <si>
    <t>Málaga CF</t>
  </si>
  <si>
    <t>Real Sociedad</t>
  </si>
  <si>
    <t>Levante UD</t>
  </si>
  <si>
    <t>Espanyol Barcelona</t>
  </si>
  <si>
    <t>Villarreal CF</t>
  </si>
  <si>
    <t>Celta Vigo</t>
  </si>
  <si>
    <t>UD Las Palmas</t>
  </si>
  <si>
    <t>CD Alavés</t>
  </si>
  <si>
    <t>Girona FC</t>
  </si>
  <si>
    <t>Getafe CF</t>
  </si>
  <si>
    <t>CD Leganés</t>
  </si>
  <si>
    <t>SD Eibar</t>
  </si>
  <si>
    <t>Inter</t>
  </si>
  <si>
    <t>AC Milan</t>
  </si>
  <si>
    <t>SSC Napoli</t>
  </si>
  <si>
    <t>Juventus</t>
  </si>
  <si>
    <t>AS Roma</t>
  </si>
  <si>
    <t>Lazio Roma</t>
  </si>
  <si>
    <t>ACF Fiorentina</t>
  </si>
  <si>
    <t>Bologna FC</t>
  </si>
  <si>
    <t>Genoa CFC</t>
  </si>
  <si>
    <t>Sampdoria</t>
  </si>
  <si>
    <t>Torino FC</t>
  </si>
  <si>
    <t>Udinese Calcio</t>
  </si>
  <si>
    <t>Atalanta</t>
  </si>
  <si>
    <t>Hellas Verona</t>
  </si>
  <si>
    <t>Cagliari Calcio</t>
  </si>
  <si>
    <t>Benevento Calcio</t>
  </si>
  <si>
    <t>SPAL 2013 Ferrara</t>
  </si>
  <si>
    <t>Chievo Verona</t>
  </si>
  <si>
    <t>Sassuolo Calcio</t>
  </si>
  <si>
    <t>FC Crotone</t>
  </si>
  <si>
    <t>Paris Saint-Germain</t>
  </si>
  <si>
    <t>Olympique Marseille</t>
  </si>
  <si>
    <t>Olympique Lyon</t>
  </si>
  <si>
    <t>Lille OSC</t>
  </si>
  <si>
    <t>AS Saint-Étienne</t>
  </si>
  <si>
    <t>Girondins Bordeaux</t>
  </si>
  <si>
    <t>FC Nantes</t>
  </si>
  <si>
    <t>RC Strasbourg</t>
  </si>
  <si>
    <t>Stade Rennes</t>
  </si>
  <si>
    <t>OGC Nice</t>
  </si>
  <si>
    <t>SM Caen</t>
  </si>
  <si>
    <t>Toulouse FC</t>
  </si>
  <si>
    <t>FC Metz</t>
  </si>
  <si>
    <t>EA Guingamp</t>
  </si>
  <si>
    <t>Montpellier HSC</t>
  </si>
  <si>
    <t>Dijon FCO</t>
  </si>
  <si>
    <t>ESTAC Troyes</t>
  </si>
  <si>
    <t>Angers SCO</t>
  </si>
  <si>
    <t>Amiens SC</t>
  </si>
  <si>
    <t>AS Monaco</t>
  </si>
  <si>
    <t>Atlanta United FC</t>
  </si>
  <si>
    <t>Seattle Sounders</t>
  </si>
  <si>
    <t>Toronto FC</t>
  </si>
  <si>
    <t>San Jose Earthquakes</t>
  </si>
  <si>
    <t>Vancouver Whitecaps</t>
  </si>
  <si>
    <t>Portland Timbers</t>
  </si>
  <si>
    <t>Real Salt Lake</t>
  </si>
  <si>
    <t>Houston Dynamo</t>
  </si>
  <si>
    <t>Philadelphia Union</t>
  </si>
  <si>
    <t>Colorado Rapids</t>
  </si>
  <si>
    <t>FC Dallas</t>
  </si>
  <si>
    <t>Chicago Fire</t>
  </si>
  <si>
    <t>D.C. United</t>
  </si>
  <si>
    <t>Columbus Crew</t>
  </si>
  <si>
    <t>Avg</t>
  </si>
  <si>
    <t>Extrapolated to End of Season</t>
  </si>
  <si>
    <t>Bor, Mönchengladbach</t>
  </si>
  <si>
    <t>1, FC Köln</t>
  </si>
  <si>
    <t>1, FSV Mainz 05</t>
  </si>
  <si>
    <t>LA Galaxy</t>
  </si>
  <si>
    <t>Orlando City SC</t>
  </si>
  <si>
    <t>NYC FC</t>
  </si>
  <si>
    <t>LAFC</t>
  </si>
  <si>
    <t>Minnesota United</t>
  </si>
  <si>
    <t>Sporting KC</t>
  </si>
  <si>
    <t>NE Revolution</t>
  </si>
  <si>
    <t>New York Red Bulls</t>
  </si>
  <si>
    <t>Montreal Impact</t>
  </si>
  <si>
    <t>SL Benfica</t>
  </si>
  <si>
    <t>Sporting CP</t>
  </si>
  <si>
    <t>FC Porto</t>
  </si>
  <si>
    <t>Vitória Guimarães</t>
  </si>
  <si>
    <t>Sporting Braga</t>
  </si>
  <si>
    <t>CS Marítimo</t>
  </si>
  <si>
    <t>Boavista</t>
  </si>
  <si>
    <t>Vitória Setúbal</t>
  </si>
  <si>
    <t>CD Feirense</t>
  </si>
  <si>
    <t>Rio Ave FC</t>
  </si>
  <si>
    <t>GD Chaves</t>
  </si>
  <si>
    <t>Paços de Ferreira</t>
  </si>
  <si>
    <t>Os Belenenses</t>
  </si>
  <si>
    <t>Portimonense SC</t>
  </si>
  <si>
    <t>CD Aves</t>
  </si>
  <si>
    <t>CD Tondela</t>
  </si>
  <si>
    <t>GD Estoril</t>
  </si>
  <si>
    <t>Moreirense 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</si>
</sst>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3" fontId="0" fillId="0" borderId="0" xfId="0" applyNumberFormat="1"/>
    <xf numFmtId="0" fontId="0" fillId="0" borderId="0" xfId="0" applyNumberFormat="1" applyAlignment="1">
      <alignment horizontal="right"/>
    </xf>
    <xf numFmtId="0" fontId="1" fillId="0" borderId="0" xfId="0" applyFont="1"/>
    <xf numFmtId="3" fontId="1" fillId="0" borderId="0" xfId="0" applyNumberFormat="1" applyFont="1"/>
    <xf numFmtId="3" fontId="0" fillId="0" borderId="0" xfId="0" applyNumberFormat="1" applyAlignment="1">
      <alignment horizontal="right"/>
    </xf>
    <xf numFmtId="0" fontId="1" fillId="0" borderId="0" xfId="0" applyFont="1" applyAlignment="1">
      <alignment wrapText="1"/>
    </xf>
  </cellXfs>
  <cellStyles count="1">
    <cellStyle name="Normal" xfId="0" builtinId="0"/>
  </cellStyles>
  <dxfs count="3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F316C5E-45A6-46AB-993A-1B593F2E912E}" autoFormatId="16" applyNumberFormats="0" applyBorderFormats="0" applyFontFormats="0" applyPatternFormats="0" applyAlignmentFormats="0" applyWidthHeightFormats="0">
  <queryTableRefresh nextId="9" unboundColumnsLeft="1">
    <queryTableFields count="5">
      <queryTableField id="5" dataBound="0" tableColumnId="6"/>
      <queryTableField id="1" name="Team" tableColumnId="5"/>
      <queryTableField id="2" name="Matches" tableColumnId="2"/>
      <queryTableField id="3" name="Total" tableColumnId="3"/>
      <queryTableField id="4" name="Average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EC028F63-C545-4EE1-A6D1-472059225826}" autoFormatId="16" applyNumberFormats="0" applyBorderFormats="0" applyFontFormats="0" applyPatternFormats="0" applyAlignmentFormats="0" applyWidthHeightFormats="0">
  <queryTableRefresh nextId="6">
    <queryTableFields count="5">
      <queryTableField id="1" name="Rank" tableColumnId="6"/>
      <queryTableField id="2" name="Team" tableColumnId="2"/>
      <queryTableField id="3" name="Matches" tableColumnId="3"/>
      <queryTableField id="4" name="Total" tableColumnId="4"/>
      <queryTableField id="5" name="Average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AD17ACCB-CB4F-4ACA-9E20-34F5DE91B6EE}" autoFormatId="16" applyNumberFormats="0" applyBorderFormats="0" applyFontFormats="0" applyPatternFormats="0" applyAlignmentFormats="0" applyWidthHeightFormats="0">
  <queryTableRefresh nextId="12" unboundColumnsRight="1">
    <queryTableFields count="5">
      <queryTableField id="8" name="Rank" tableColumnId="1"/>
      <queryTableField id="2" name="Team" tableColumnId="2"/>
      <queryTableField id="3" name="Matches" tableColumnId="3"/>
      <queryTableField id="5" name="Total" tableColumnId="8"/>
      <queryTableField id="6" dataBound="0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2" xr16:uid="{50FCD059-0043-405A-BD7C-E184E56FC47D}" autoFormatId="16" applyNumberFormats="0" applyBorderFormats="0" applyFontFormats="0" applyPatternFormats="0" applyAlignmentFormats="0" applyWidthHeightFormats="0">
  <queryTableRefresh nextId="12" unboundColumnsRight="1">
    <queryTableFields count="5">
      <queryTableField id="8" name="Rank" tableColumnId="1"/>
      <queryTableField id="2" name="Team" tableColumnId="2"/>
      <queryTableField id="3" name="Matches" tableColumnId="3"/>
      <queryTableField id="5" name="Total" tableColumnId="8"/>
      <queryTableField id="6" dataBound="0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FEB3637F-55DE-4766-8440-F6FA83D31477}" autoFormatId="16" applyNumberFormats="0" applyBorderFormats="0" applyFontFormats="0" applyPatternFormats="0" applyAlignmentFormats="0" applyWidthHeightFormats="0">
  <queryTableRefresh nextId="19" unboundColumnsRight="1">
    <queryTableFields count="5">
      <queryTableField id="17" name="Rank" tableColumnId="5"/>
      <queryTableField id="2" name="Team" tableColumnId="2"/>
      <queryTableField id="4" name="Matches" tableColumnId="4"/>
      <queryTableField id="3" name="Total" tableColumnId="7"/>
      <queryTableField id="5" dataBound="0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46F778E-F62E-4183-9A68-DB4EB74F3D02}" autoFormatId="16" applyNumberFormats="0" applyBorderFormats="0" applyFontFormats="0" applyPatternFormats="0" applyAlignmentFormats="0" applyWidthHeightFormats="0">
  <queryTableRefresh nextId="8" unboundColumnsRight="1">
    <queryTableFields count="5">
      <queryTableField id="1" name="Rank" tableColumnId="5"/>
      <queryTableField id="2" name="Team" tableColumnId="2"/>
      <queryTableField id="3" name="Matches" tableColumnId="3"/>
      <queryTableField id="4" name="Total" tableColumnId="7"/>
      <queryTableField id="5" dataBound="0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38E8E60-FB73-4864-A614-161AE4C48B53}" autoFormatId="16" applyNumberFormats="0" applyBorderFormats="0" applyFontFormats="0" applyPatternFormats="0" applyAlignmentFormats="0" applyWidthHeightFormats="0">
  <queryTableRefresh nextId="8" unboundColumnsRight="1">
    <queryTableFields count="5">
      <queryTableField id="1" name="Rank" tableColumnId="5"/>
      <queryTableField id="2" name="Team" tableColumnId="2"/>
      <queryTableField id="3" name="Matches" tableColumnId="3"/>
      <queryTableField id="4" name="Total" tableColumnId="7"/>
      <queryTableField id="5" dataBound="0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5AF76502-B560-493C-B541-1BA22D012D1F}" autoFormatId="16" applyNumberFormats="0" applyBorderFormats="0" applyFontFormats="0" applyPatternFormats="0" applyAlignmentFormats="0" applyWidthHeightFormats="0">
  <queryTableRefresh nextId="6">
    <queryTableFields count="5">
      <queryTableField id="1" name="Rank" tableColumnId="6"/>
      <queryTableField id="2" name="Team" tableColumnId="2"/>
      <queryTableField id="3" name="Matches" tableColumnId="3"/>
      <queryTableField id="4" name="Total" tableColumnId="4"/>
      <queryTableField id="5" name="Averag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1C31A7F-95DB-408F-9B74-A27FEFDE8635}" name="Append1" displayName="Append1" ref="A1:E140" tableType="queryTable" totalsRowShown="0" headerRowDxfId="38">
  <autoFilter ref="A1:E140" xr:uid="{C294F867-6FD6-493A-8849-66FFE1B3AA02}"/>
  <sortState ref="A2:E140">
    <sortCondition descending="1" ref="E1:E140"/>
  </sortState>
  <tableColumns count="5">
    <tableColumn id="6" xr3:uid="{7D81AA09-B69B-463B-8BFC-7F2A97A0EE0C}" uniqueName="6" name="Rank" queryTableFieldId="5" dataDxfId="37"/>
    <tableColumn id="5" xr3:uid="{7F1865E5-9536-474A-B966-D4041080BB2F}" uniqueName="5" name="Team" queryTableFieldId="1" dataDxfId="36"/>
    <tableColumn id="2" xr3:uid="{70CA221F-079D-45AC-BEBE-9A6FB837C442}" uniqueName="2" name="Matches" queryTableFieldId="2" dataDxfId="35"/>
    <tableColumn id="3" xr3:uid="{2D6E5862-982A-4366-A39F-CCF39FF2BCD7}" uniqueName="3" name="Total" queryTableFieldId="3" dataDxfId="34"/>
    <tableColumn id="4" xr3:uid="{B54B005C-BBED-496A-9902-D34C33B7C67A}" uniqueName="4" name="Average" queryTableFieldId="4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E8A4B5-334E-4854-9280-887817FBC882}" name="MLS" displayName="MLS" ref="A1:E24" tableType="queryTable" totalsRowShown="0" headerRowDxfId="32">
  <autoFilter ref="A1:E24" xr:uid="{C0AFD029-95BB-476F-8558-329A85C4C7B3}"/>
  <tableColumns count="5">
    <tableColumn id="6" xr3:uid="{587919C4-3797-4FE0-9B07-9D6E0918A55B}" uniqueName="6" name="Rank" queryTableFieldId="1" dataDxfId="31"/>
    <tableColumn id="2" xr3:uid="{0A9E52DB-B57B-4AB5-8462-D3F568C210CA}" uniqueName="2" name="Team" queryTableFieldId="2" dataDxfId="30"/>
    <tableColumn id="3" xr3:uid="{57BE0343-609E-4897-BFD7-B9178367680E}" uniqueName="3" name="Matches" queryTableFieldId="3" dataDxfId="29"/>
    <tableColumn id="4" xr3:uid="{52C0F483-DD4A-44CA-BD01-63B947A1F53C}" uniqueName="4" name="Total" queryTableFieldId="4" dataDxfId="28"/>
    <tableColumn id="5" xr3:uid="{A39A3E38-0C4D-4AEF-A394-7EDB8E765E66}" uniqueName="5" name="Average" queryTableFieldId="5" dataDxfId="2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BD0562-CA52-4BCB-9EFF-11E4655B8499}" name="EPL" displayName="EPL" ref="A1:E21" tableType="queryTable" totalsRowShown="0">
  <autoFilter ref="A1:E21" xr:uid="{E0AC0879-38F4-4298-AFE4-00AEC17192CF}"/>
  <tableColumns count="5">
    <tableColumn id="1" xr3:uid="{37365714-5964-4A84-BE2D-F74B38317B0D}" uniqueName="1" name="Rank" queryTableFieldId="8"/>
    <tableColumn id="2" xr3:uid="{9B17A130-FC0A-4A0D-B169-B1AFE1C159C6}" uniqueName="2" name="Team" queryTableFieldId="2" dataDxfId="26"/>
    <tableColumn id="3" xr3:uid="{4884B2E8-C42E-45A4-A4F1-71D44470086B}" uniqueName="3" name="Matches" queryTableFieldId="3" dataDxfId="25"/>
    <tableColumn id="8" xr3:uid="{2BA5CE67-B5B7-45E5-9FC7-1279FEB4C454}" uniqueName="8" name="Total" queryTableFieldId="5" dataDxfId="24"/>
    <tableColumn id="4" xr3:uid="{48245262-AF0D-4387-89A7-FE2B6B273B45}" uniqueName="4" name="Average" queryTableFieldId="6" dataDxfId="23">
      <calculatedColumnFormula>D2/EPL[[#This Row],[Matches]]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4D239-C524-49D3-954B-A28C73368E59}" name="Bundesliga" displayName="Bundesliga" ref="A1:E19" tableType="queryTable" totalsRowShown="0">
  <autoFilter ref="A1:E19" xr:uid="{16B03630-3A57-4DB5-B2CD-2AC6021F5CEB}"/>
  <tableColumns count="5">
    <tableColumn id="1" xr3:uid="{ABEE6FBE-5339-4B54-B67D-8C3E4BF2BAED}" uniqueName="1" name="Rank" queryTableFieldId="8"/>
    <tableColumn id="2" xr3:uid="{1D176049-84D3-47B9-B988-4ADCAE534ECF}" uniqueName="2" name="Team" queryTableFieldId="2" dataDxfId="22"/>
    <tableColumn id="3" xr3:uid="{771C3B91-22D7-406A-93CD-43BD66932647}" uniqueName="3" name="Matches" queryTableFieldId="3" dataDxfId="21"/>
    <tableColumn id="8" xr3:uid="{1ECAAA83-D306-44E1-A871-9BACD4A9D2DA}" uniqueName="8" name="Total" queryTableFieldId="5" dataDxfId="20"/>
    <tableColumn id="4" xr3:uid="{56AB9219-2B37-4938-BA77-862AF8C0F7FC}" uniqueName="4" name="Average" queryTableFieldId="6" dataDxfId="19">
      <calculatedColumnFormula>D2/Bundesliga[[#This Row],[Matches]]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7C5144-B22C-4E21-A324-9BC2B774C9C2}" name="La_Liga" displayName="La_Liga" ref="A1:E21" tableType="queryTable" totalsRowShown="0">
  <autoFilter ref="A1:E21" xr:uid="{BE47C7C3-114D-4CA5-B624-53AECFE9B093}"/>
  <tableColumns count="5">
    <tableColumn id="5" xr3:uid="{258E226F-3BE1-4F11-B264-BA22110824EE}" uniqueName="5" name="Rank" queryTableFieldId="17"/>
    <tableColumn id="2" xr3:uid="{5392AD7D-893F-4E37-A920-D83353D46B87}" uniqueName="2" name="Team" queryTableFieldId="2" dataDxfId="18"/>
    <tableColumn id="4" xr3:uid="{F80CE05B-9783-482E-BE67-23416C9095E7}" uniqueName="4" name="Matches" queryTableFieldId="4" dataDxfId="17"/>
    <tableColumn id="7" xr3:uid="{4B752913-66E8-41AC-8B6B-E989E4133127}" uniqueName="7" name="Total" queryTableFieldId="3" dataDxfId="16"/>
    <tableColumn id="3" xr3:uid="{F9202A65-1B19-4844-A591-A66CA411DD5B}" uniqueName="3" name="Average" queryTableFieldId="5" dataDxfId="15">
      <calculatedColumnFormula>La_Liga[[#This Row],[Total]]/La_Liga[[#This Row],[Matches]]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AB6846-5958-41B5-BBF0-3B88EDBB177E}" name="Serie_A" displayName="Serie_A" ref="A1:E21" tableType="queryTable" totalsRowShown="0">
  <autoFilter ref="A1:E21" xr:uid="{9BAE80F2-34C3-487E-ACA0-BF80688E37A3}"/>
  <tableColumns count="5">
    <tableColumn id="5" xr3:uid="{C265ACB9-8E0C-475D-88F0-2578C16B88EA}" uniqueName="5" name="Rank" queryTableFieldId="1" dataDxfId="14"/>
    <tableColumn id="2" xr3:uid="{32FAE350-36B0-4C8B-919B-291D21E7578E}" uniqueName="2" name="Team" queryTableFieldId="2" dataDxfId="13"/>
    <tableColumn id="3" xr3:uid="{56D4DCB2-AF99-438B-B976-1582A8F6B962}" uniqueName="3" name="Matches" queryTableFieldId="3" dataDxfId="12"/>
    <tableColumn id="7" xr3:uid="{72B06308-E05C-49BB-9BD4-CE9039C37D32}" uniqueName="7" name="Total" queryTableFieldId="4" dataDxfId="11"/>
    <tableColumn id="1" xr3:uid="{6F5EEBD2-1244-48DE-9A48-B578FA562F71}" uniqueName="1" name="Average" queryTableFieldId="5" dataDxfId="10">
      <calculatedColumnFormula>D2/Serie_A[[#This Row],[Matches]]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1E2237-8514-4501-A539-D329903BA0CC}" name="Ligue1" displayName="Ligue1" ref="A1:E21" tableType="queryTable" totalsRowShown="0">
  <autoFilter ref="A1:E21" xr:uid="{AF723A2A-0FF4-497F-99C1-C2AAC4AD01B2}"/>
  <tableColumns count="5">
    <tableColumn id="5" xr3:uid="{03D9BE0A-FAC4-4F60-832D-C2835287C929}" uniqueName="5" name="Rank" queryTableFieldId="1" dataDxfId="9"/>
    <tableColumn id="2" xr3:uid="{9D8BD080-8AB1-4E9A-8D0B-57334A3BC292}" uniqueName="2" name="Team" queryTableFieldId="2" dataDxfId="8"/>
    <tableColumn id="3" xr3:uid="{177C7203-0271-4351-B215-F902D835B53F}" uniqueName="3" name="Matches" queryTableFieldId="3" dataDxfId="7"/>
    <tableColumn id="7" xr3:uid="{0C4C35C8-C726-438A-8C13-EB318140CE3C}" uniqueName="7" name="Total" queryTableFieldId="4" dataDxfId="6"/>
    <tableColumn id="1" xr3:uid="{C425ECDD-EC68-4FD9-9BF6-CBEB9541CC49}" uniqueName="1" name="Average" queryTableFieldId="5" dataDxfId="5">
      <calculatedColumnFormula>Ligue1[[#This Row],[Total]]/Ligue1[[#This Row],[Matches]]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28B25F-9660-46EF-9DA9-88F61EE3B0FD}" name="Portugal" displayName="Portugal" ref="A1:E19" tableType="queryTable" totalsRowShown="0">
  <autoFilter ref="A1:E19" xr:uid="{EC4AF479-CA73-4EE5-9304-5940B75C9415}"/>
  <tableColumns count="5">
    <tableColumn id="6" xr3:uid="{31701E8B-8FBD-4150-BCC2-9EADBFE21EAB}" uniqueName="6" name="Rank" queryTableFieldId="1" dataDxfId="4"/>
    <tableColumn id="2" xr3:uid="{B4E3B783-E4F2-4D07-A950-7B6FE091EE90}" uniqueName="2" name="Team" queryTableFieldId="2" dataDxfId="3"/>
    <tableColumn id="3" xr3:uid="{954761CC-B6FC-45ED-A7A2-C9852E2F03E0}" uniqueName="3" name="Matches" queryTableFieldId="3" dataDxfId="2"/>
    <tableColumn id="4" xr3:uid="{5C9F2720-97D9-410D-B7A3-0FEB817DDA78}" uniqueName="4" name="Total" queryTableFieldId="4" dataDxfId="1"/>
    <tableColumn id="5" xr3:uid="{D4041547-55BE-43AE-9B86-3FD3A445D23F}" uniqueName="5" name="Averag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6756-79D0-4A27-A089-25395E948EA4}">
  <sheetPr codeName="Sheet10"/>
  <dimension ref="A1:L140"/>
  <sheetViews>
    <sheetView tabSelected="1" workbookViewId="0">
      <selection activeCell="I15" sqref="I15"/>
    </sheetView>
  </sheetViews>
  <sheetFormatPr defaultRowHeight="14.4" x14ac:dyDescent="0.55000000000000004"/>
  <cols>
    <col min="1" max="1" width="6.9453125" bestFit="1" customWidth="1"/>
    <col min="2" max="2" width="19.20703125" bestFit="1" customWidth="1"/>
    <col min="3" max="3" width="9.83984375" style="2" bestFit="1" customWidth="1"/>
    <col min="4" max="4" width="8.62890625" style="2" bestFit="1" customWidth="1"/>
    <col min="5" max="5" width="9.578125" style="2" bestFit="1" customWidth="1"/>
    <col min="6" max="6" width="7.68359375" style="2" customWidth="1"/>
    <col min="7" max="7" width="7.68359375" style="2" bestFit="1" customWidth="1"/>
    <col min="8" max="8" width="11.68359375" style="2" bestFit="1" customWidth="1"/>
    <col min="9" max="9" width="9.578125" style="2" bestFit="1" customWidth="1"/>
  </cols>
  <sheetData>
    <row r="1" spans="1:11" x14ac:dyDescent="0.55000000000000004">
      <c r="A1" s="1" t="s">
        <v>3</v>
      </c>
      <c r="B1" s="1" t="s">
        <v>0</v>
      </c>
      <c r="C1" s="2" t="s">
        <v>4</v>
      </c>
      <c r="D1" s="2" t="s">
        <v>2</v>
      </c>
      <c r="E1" s="2" t="s">
        <v>1</v>
      </c>
      <c r="G1"/>
      <c r="H1"/>
      <c r="I1"/>
    </row>
    <row r="2" spans="1:11" x14ac:dyDescent="0.55000000000000004">
      <c r="A2" s="1">
        <v>1</v>
      </c>
      <c r="B2" s="1" t="s">
        <v>25</v>
      </c>
      <c r="C2" s="2">
        <v>17</v>
      </c>
      <c r="D2" s="2">
        <v>1351439</v>
      </c>
      <c r="E2" s="2">
        <v>79496.411764705888</v>
      </c>
      <c r="G2"/>
      <c r="H2"/>
      <c r="I2"/>
      <c r="J2" s="2">
        <v>45003</v>
      </c>
      <c r="K2" s="2">
        <v>72035</v>
      </c>
    </row>
    <row r="3" spans="1:11" x14ac:dyDescent="0.55000000000000004">
      <c r="A3" s="1">
        <v>2</v>
      </c>
      <c r="B3" s="1" t="s">
        <v>26</v>
      </c>
      <c r="C3" s="2">
        <v>17</v>
      </c>
      <c r="D3" s="2">
        <v>1275000</v>
      </c>
      <c r="E3" s="2">
        <v>75000</v>
      </c>
      <c r="G3"/>
      <c r="H3"/>
      <c r="I3"/>
      <c r="J3" s="2">
        <v>45207</v>
      </c>
      <c r="K3" s="2">
        <v>71932</v>
      </c>
    </row>
    <row r="4" spans="1:11" x14ac:dyDescent="0.55000000000000004">
      <c r="A4" s="1">
        <v>3</v>
      </c>
      <c r="B4" s="1" t="s">
        <v>5</v>
      </c>
      <c r="C4" s="2">
        <v>19</v>
      </c>
      <c r="D4" s="2">
        <v>1424538</v>
      </c>
      <c r="E4" s="2">
        <v>74975.68421052632</v>
      </c>
      <c r="G4"/>
      <c r="H4"/>
      <c r="I4"/>
      <c r="J4" s="2">
        <v>45001</v>
      </c>
      <c r="K4" s="2">
        <v>72243</v>
      </c>
    </row>
    <row r="5" spans="1:11" x14ac:dyDescent="0.55000000000000004">
      <c r="A5" s="1">
        <v>4</v>
      </c>
      <c r="B5" s="1" t="s">
        <v>6</v>
      </c>
      <c r="C5" s="2">
        <v>19</v>
      </c>
      <c r="D5" s="2">
        <v>1291103</v>
      </c>
      <c r="E5" s="2">
        <v>67952.789473684214</v>
      </c>
      <c r="G5"/>
      <c r="H5"/>
      <c r="I5"/>
      <c r="J5" s="2">
        <v>45039</v>
      </c>
      <c r="K5" s="2"/>
    </row>
    <row r="6" spans="1:11" x14ac:dyDescent="0.55000000000000004">
      <c r="A6" s="1">
        <v>5</v>
      </c>
      <c r="B6" s="1" t="s">
        <v>40</v>
      </c>
      <c r="C6" s="2">
        <v>19</v>
      </c>
      <c r="D6" s="2">
        <v>1250657</v>
      </c>
      <c r="E6" s="2">
        <v>65824.052631578947</v>
      </c>
      <c r="G6"/>
      <c r="H6"/>
      <c r="I6"/>
      <c r="J6" s="2">
        <v>44696</v>
      </c>
      <c r="K6" s="2"/>
    </row>
    <row r="7" spans="1:11" x14ac:dyDescent="0.55000000000000004">
      <c r="A7" s="1">
        <v>6</v>
      </c>
      <c r="B7" s="1" t="s">
        <v>41</v>
      </c>
      <c r="C7" s="2">
        <v>19</v>
      </c>
      <c r="D7" s="2">
        <v>1247398</v>
      </c>
      <c r="E7" s="2">
        <v>65652.526315789481</v>
      </c>
      <c r="G7"/>
      <c r="H7"/>
      <c r="I7"/>
      <c r="J7" s="2">
        <v>45089</v>
      </c>
      <c r="K7" s="2"/>
    </row>
    <row r="8" spans="1:11" x14ac:dyDescent="0.55000000000000004">
      <c r="A8" s="1">
        <v>7</v>
      </c>
      <c r="B8" s="1" t="s">
        <v>27</v>
      </c>
      <c r="C8" s="2">
        <v>17</v>
      </c>
      <c r="D8" s="2">
        <v>1042041</v>
      </c>
      <c r="E8" s="2">
        <v>61296.529411764706</v>
      </c>
      <c r="G8"/>
      <c r="H8"/>
      <c r="I8"/>
      <c r="J8" s="2">
        <v>45116</v>
      </c>
      <c r="K8" s="2"/>
    </row>
    <row r="9" spans="1:11" x14ac:dyDescent="0.55000000000000004">
      <c r="A9" s="1">
        <v>8</v>
      </c>
      <c r="B9" s="1" t="s">
        <v>7</v>
      </c>
      <c r="C9" s="2">
        <v>19</v>
      </c>
      <c r="D9" s="2">
        <v>1127133</v>
      </c>
      <c r="E9" s="2">
        <v>59322.789473684214</v>
      </c>
      <c r="G9"/>
      <c r="H9"/>
      <c r="I9"/>
    </row>
    <row r="10" spans="1:11" x14ac:dyDescent="0.55000000000000004">
      <c r="A10" s="1">
        <v>9</v>
      </c>
      <c r="B10" s="1" t="s">
        <v>60</v>
      </c>
      <c r="C10" s="2">
        <v>19</v>
      </c>
      <c r="D10" s="2">
        <v>1093053</v>
      </c>
      <c r="E10" s="2">
        <v>57529.105263157893</v>
      </c>
      <c r="G10"/>
      <c r="H10"/>
      <c r="I10" s="4" t="s">
        <v>114</v>
      </c>
      <c r="J10" s="2">
        <f>SUM(J2:J8)/7</f>
        <v>45021.571428571428</v>
      </c>
      <c r="K10" s="2">
        <f>SUM(K2:K4)/3</f>
        <v>72070</v>
      </c>
    </row>
    <row r="11" spans="1:11" x14ac:dyDescent="0.55000000000000004">
      <c r="A11" s="1">
        <v>10</v>
      </c>
      <c r="B11" s="1" t="s">
        <v>8</v>
      </c>
      <c r="C11" s="2">
        <v>19</v>
      </c>
      <c r="D11" s="2">
        <v>1080808</v>
      </c>
      <c r="E11" s="2">
        <v>56884.631578947367</v>
      </c>
      <c r="G11"/>
      <c r="H11"/>
      <c r="I11"/>
    </row>
    <row r="12" spans="1:11" x14ac:dyDescent="0.55000000000000004">
      <c r="A12" s="1">
        <v>11</v>
      </c>
      <c r="B12" s="1" t="s">
        <v>28</v>
      </c>
      <c r="C12" s="2">
        <v>17</v>
      </c>
      <c r="D12" s="2">
        <v>956722</v>
      </c>
      <c r="E12" s="2">
        <v>56277.76470588235</v>
      </c>
      <c r="G12"/>
      <c r="H12"/>
      <c r="I12"/>
    </row>
    <row r="13" spans="1:11" x14ac:dyDescent="0.55000000000000004">
      <c r="A13" s="1">
        <v>12</v>
      </c>
      <c r="B13" s="1" t="s">
        <v>42</v>
      </c>
      <c r="C13" s="2">
        <v>19</v>
      </c>
      <c r="D13" s="2">
        <v>1054093</v>
      </c>
      <c r="E13" s="2">
        <v>55478.57894736842</v>
      </c>
      <c r="G13"/>
      <c r="H13"/>
      <c r="I13"/>
    </row>
    <row r="14" spans="1:11" x14ac:dyDescent="0.55000000000000004">
      <c r="A14" s="1">
        <v>13</v>
      </c>
      <c r="B14" s="1" t="s">
        <v>9</v>
      </c>
      <c r="C14" s="2">
        <v>19</v>
      </c>
      <c r="D14" s="2">
        <v>1022434</v>
      </c>
      <c r="E14" s="2">
        <v>53812.315789473687</v>
      </c>
      <c r="G14"/>
      <c r="H14"/>
      <c r="I14"/>
      <c r="J14" s="7" t="s">
        <v>115</v>
      </c>
      <c r="K14" s="7"/>
    </row>
    <row r="15" spans="1:11" x14ac:dyDescent="0.55000000000000004">
      <c r="A15" s="1">
        <v>14</v>
      </c>
      <c r="B15" s="1" t="s">
        <v>128</v>
      </c>
      <c r="C15" s="2">
        <v>17</v>
      </c>
      <c r="D15" s="2">
        <v>904553</v>
      </c>
      <c r="E15" s="2">
        <v>53209</v>
      </c>
      <c r="G15"/>
      <c r="H15"/>
      <c r="I15"/>
      <c r="J15" s="7"/>
      <c r="K15" s="7"/>
    </row>
    <row r="16" spans="1:11" x14ac:dyDescent="0.55000000000000004">
      <c r="A16" s="1">
        <v>15</v>
      </c>
      <c r="B16" s="1" t="s">
        <v>10</v>
      </c>
      <c r="C16" s="2">
        <v>19</v>
      </c>
      <c r="D16" s="2">
        <v>1007931</v>
      </c>
      <c r="E16" s="2">
        <v>53049</v>
      </c>
      <c r="G16"/>
      <c r="H16"/>
      <c r="I16"/>
      <c r="J16" s="2">
        <v>45022</v>
      </c>
      <c r="K16" s="2">
        <v>72070</v>
      </c>
    </row>
    <row r="17" spans="1:12" x14ac:dyDescent="0.55000000000000004">
      <c r="A17" s="1">
        <v>16</v>
      </c>
      <c r="B17" s="1" t="s">
        <v>61</v>
      </c>
      <c r="C17" s="2">
        <v>19</v>
      </c>
      <c r="D17" s="2">
        <v>1001114</v>
      </c>
      <c r="E17" s="2">
        <v>52690.210526315786</v>
      </c>
      <c r="G17"/>
      <c r="H17"/>
      <c r="I17"/>
      <c r="J17" s="2">
        <v>12</v>
      </c>
      <c r="K17" s="2">
        <v>5</v>
      </c>
      <c r="L17" s="2">
        <v>17</v>
      </c>
    </row>
    <row r="18" spans="1:12" x14ac:dyDescent="0.55000000000000004">
      <c r="A18" s="1">
        <v>17</v>
      </c>
      <c r="B18" s="1" t="s">
        <v>100</v>
      </c>
      <c r="C18" s="2">
        <v>11</v>
      </c>
      <c r="D18" s="2">
        <v>576501</v>
      </c>
      <c r="E18" s="2">
        <v>52409</v>
      </c>
      <c r="G18"/>
      <c r="H18"/>
      <c r="I18"/>
      <c r="J18" s="2"/>
      <c r="K18" s="2"/>
    </row>
    <row r="19" spans="1:12" x14ac:dyDescent="0.55000000000000004">
      <c r="A19" s="1">
        <v>18</v>
      </c>
      <c r="B19" s="1" t="s">
        <v>11</v>
      </c>
      <c r="C19" s="2">
        <v>19</v>
      </c>
      <c r="D19" s="2">
        <v>987844</v>
      </c>
      <c r="E19" s="2">
        <v>51991.789473684214</v>
      </c>
      <c r="G19"/>
      <c r="H19"/>
      <c r="I19"/>
      <c r="J19" s="2">
        <f>J16*J17</f>
        <v>540264</v>
      </c>
      <c r="K19" s="2">
        <f>K16*K17</f>
        <v>360350</v>
      </c>
    </row>
    <row r="20" spans="1:12" x14ac:dyDescent="0.55000000000000004">
      <c r="A20" s="1">
        <v>19</v>
      </c>
      <c r="B20" s="1" t="s">
        <v>116</v>
      </c>
      <c r="C20" s="2">
        <v>17</v>
      </c>
      <c r="D20" s="2">
        <v>866755</v>
      </c>
      <c r="E20" s="2">
        <v>50985.588235294119</v>
      </c>
      <c r="G20"/>
      <c r="H20"/>
      <c r="I20"/>
      <c r="J20" s="2"/>
    </row>
    <row r="21" spans="1:12" x14ac:dyDescent="0.55000000000000004">
      <c r="A21" s="1">
        <v>20</v>
      </c>
      <c r="B21" s="1" t="s">
        <v>29</v>
      </c>
      <c r="C21" s="2">
        <v>17</v>
      </c>
      <c r="D21" s="2">
        <v>861146</v>
      </c>
      <c r="E21" s="2">
        <v>50655.647058823532</v>
      </c>
      <c r="G21"/>
      <c r="H21"/>
    </row>
    <row r="22" spans="1:12" x14ac:dyDescent="0.55000000000000004">
      <c r="A22" s="1">
        <v>21</v>
      </c>
      <c r="B22" s="1" t="s">
        <v>30</v>
      </c>
      <c r="C22" s="2">
        <v>17</v>
      </c>
      <c r="D22" s="2">
        <v>835700</v>
      </c>
      <c r="E22" s="2">
        <v>49158.823529411762</v>
      </c>
      <c r="G22"/>
      <c r="H22"/>
      <c r="I22"/>
    </row>
    <row r="23" spans="1:12" x14ac:dyDescent="0.55000000000000004">
      <c r="A23" s="1">
        <v>22</v>
      </c>
      <c r="B23" s="1" t="s">
        <v>117</v>
      </c>
      <c r="C23" s="2">
        <v>17</v>
      </c>
      <c r="D23" s="2">
        <v>829200</v>
      </c>
      <c r="E23" s="2">
        <v>48776.470588235294</v>
      </c>
      <c r="G23"/>
      <c r="H23"/>
      <c r="I23"/>
      <c r="K23" s="2">
        <f>SUM(J19:K19)</f>
        <v>900614</v>
      </c>
    </row>
    <row r="24" spans="1:12" x14ac:dyDescent="0.55000000000000004">
      <c r="A24" s="1">
        <v>23</v>
      </c>
      <c r="B24" s="1" t="s">
        <v>80</v>
      </c>
      <c r="C24" s="2">
        <v>19</v>
      </c>
      <c r="D24" s="2">
        <v>891669</v>
      </c>
      <c r="E24" s="2">
        <v>46929.947368421053</v>
      </c>
      <c r="G24"/>
      <c r="H24"/>
      <c r="I24"/>
      <c r="J24" s="2"/>
      <c r="K24" s="5">
        <f>K23/17</f>
        <v>52977.294117647056</v>
      </c>
    </row>
    <row r="25" spans="1:12" x14ac:dyDescent="0.55000000000000004">
      <c r="A25" s="1">
        <v>24</v>
      </c>
      <c r="B25" s="1" t="s">
        <v>81</v>
      </c>
      <c r="C25" s="2">
        <v>19</v>
      </c>
      <c r="D25" s="2">
        <v>885712</v>
      </c>
      <c r="E25" s="2">
        <v>46616.42105263158</v>
      </c>
      <c r="G25"/>
      <c r="H25"/>
      <c r="I25"/>
    </row>
    <row r="26" spans="1:12" x14ac:dyDescent="0.55000000000000004">
      <c r="A26" s="1">
        <v>25</v>
      </c>
      <c r="B26" s="1" t="s">
        <v>43</v>
      </c>
      <c r="C26" s="2">
        <v>19</v>
      </c>
      <c r="D26" s="2">
        <v>881345</v>
      </c>
      <c r="E26" s="2">
        <v>46386.57894736842</v>
      </c>
      <c r="G26"/>
      <c r="H26"/>
      <c r="I26"/>
    </row>
    <row r="27" spans="1:12" x14ac:dyDescent="0.55000000000000004">
      <c r="A27" s="1">
        <v>26</v>
      </c>
      <c r="B27" s="1" t="s">
        <v>82</v>
      </c>
      <c r="C27" s="2">
        <v>19</v>
      </c>
      <c r="D27" s="2">
        <v>874091</v>
      </c>
      <c r="E27" s="2">
        <v>46004.789473684214</v>
      </c>
      <c r="G27"/>
      <c r="H27"/>
      <c r="I27"/>
    </row>
    <row r="28" spans="1:12" x14ac:dyDescent="0.55000000000000004">
      <c r="A28" s="1">
        <v>27</v>
      </c>
      <c r="B28" s="1" t="s">
        <v>31</v>
      </c>
      <c r="C28" s="2">
        <v>17</v>
      </c>
      <c r="D28" s="2">
        <v>770422</v>
      </c>
      <c r="E28" s="2">
        <v>45318.941176470587</v>
      </c>
      <c r="G28"/>
      <c r="H28"/>
      <c r="I28"/>
    </row>
    <row r="29" spans="1:12" x14ac:dyDescent="0.55000000000000004">
      <c r="A29" s="1">
        <v>28</v>
      </c>
      <c r="B29" s="1" t="s">
        <v>129</v>
      </c>
      <c r="C29" s="2">
        <v>17</v>
      </c>
      <c r="D29" s="2">
        <v>749665</v>
      </c>
      <c r="E29" s="2">
        <v>44097.941176470587</v>
      </c>
      <c r="G29"/>
      <c r="H29"/>
      <c r="I29"/>
    </row>
    <row r="30" spans="1:12" x14ac:dyDescent="0.55000000000000004">
      <c r="A30" s="1">
        <v>29</v>
      </c>
      <c r="B30" s="1" t="s">
        <v>62</v>
      </c>
      <c r="C30" s="2">
        <v>19</v>
      </c>
      <c r="D30" s="2">
        <v>817942</v>
      </c>
      <c r="E30" s="2">
        <v>43049.57894736842</v>
      </c>
      <c r="G30"/>
      <c r="H30"/>
      <c r="I30"/>
    </row>
    <row r="31" spans="1:12" x14ac:dyDescent="0.55000000000000004">
      <c r="A31" s="1">
        <v>30</v>
      </c>
      <c r="B31" s="1" t="s">
        <v>32</v>
      </c>
      <c r="C31" s="2">
        <v>17</v>
      </c>
      <c r="D31" s="2">
        <v>726000</v>
      </c>
      <c r="E31" s="2">
        <v>42705.882352941175</v>
      </c>
      <c r="G31"/>
      <c r="H31"/>
      <c r="I31"/>
    </row>
    <row r="32" spans="1:12" x14ac:dyDescent="0.55000000000000004">
      <c r="A32" s="1">
        <v>31</v>
      </c>
      <c r="B32" s="1" t="s">
        <v>130</v>
      </c>
      <c r="C32" s="2">
        <v>17</v>
      </c>
      <c r="D32" s="2">
        <v>724741</v>
      </c>
      <c r="E32" s="2">
        <v>42631.823529411762</v>
      </c>
      <c r="G32"/>
      <c r="H32"/>
      <c r="I32"/>
    </row>
    <row r="33" spans="1:9" x14ac:dyDescent="0.55000000000000004">
      <c r="A33" s="1">
        <v>32</v>
      </c>
      <c r="B33" s="1" t="s">
        <v>12</v>
      </c>
      <c r="C33" s="2">
        <v>19</v>
      </c>
      <c r="D33" s="2">
        <v>784353</v>
      </c>
      <c r="E33" s="2">
        <v>41281.73684210526</v>
      </c>
      <c r="G33"/>
      <c r="H33"/>
      <c r="I33"/>
    </row>
    <row r="34" spans="1:9" x14ac:dyDescent="0.55000000000000004">
      <c r="A34" s="1">
        <v>33</v>
      </c>
      <c r="B34" s="1" t="s">
        <v>33</v>
      </c>
      <c r="C34" s="2">
        <v>17</v>
      </c>
      <c r="D34" s="2">
        <v>693992</v>
      </c>
      <c r="E34" s="2">
        <v>40823.058823529413</v>
      </c>
      <c r="G34"/>
      <c r="H34"/>
      <c r="I34"/>
    </row>
    <row r="35" spans="1:9" x14ac:dyDescent="0.55000000000000004">
      <c r="A35" s="1">
        <v>34</v>
      </c>
      <c r="B35" s="1" t="s">
        <v>101</v>
      </c>
      <c r="C35" s="2">
        <v>8</v>
      </c>
      <c r="D35" s="2">
        <v>324538</v>
      </c>
      <c r="E35" s="2">
        <v>40567</v>
      </c>
      <c r="G35"/>
      <c r="H35"/>
      <c r="I35"/>
    </row>
    <row r="36" spans="1:9" x14ac:dyDescent="0.55000000000000004">
      <c r="A36" s="1">
        <v>35</v>
      </c>
      <c r="B36" s="1" t="s">
        <v>34</v>
      </c>
      <c r="C36" s="2">
        <v>17</v>
      </c>
      <c r="D36" s="2">
        <v>669741</v>
      </c>
      <c r="E36" s="2">
        <v>39396.529411764706</v>
      </c>
      <c r="G36"/>
      <c r="H36"/>
      <c r="I36"/>
    </row>
    <row r="37" spans="1:9" x14ac:dyDescent="0.55000000000000004">
      <c r="A37" s="1">
        <v>36</v>
      </c>
      <c r="B37" s="1" t="s">
        <v>63</v>
      </c>
      <c r="C37" s="2">
        <v>19</v>
      </c>
      <c r="D37" s="2">
        <v>740011</v>
      </c>
      <c r="E37" s="2">
        <v>38947.947368421053</v>
      </c>
      <c r="G37"/>
      <c r="H37"/>
      <c r="I37"/>
    </row>
    <row r="38" spans="1:9" x14ac:dyDescent="0.55000000000000004">
      <c r="A38" s="1">
        <v>37</v>
      </c>
      <c r="B38" s="1" t="s">
        <v>13</v>
      </c>
      <c r="C38" s="2">
        <v>19</v>
      </c>
      <c r="D38" s="2">
        <v>737143</v>
      </c>
      <c r="E38" s="2">
        <v>38797</v>
      </c>
      <c r="G38"/>
      <c r="H38"/>
      <c r="I38"/>
    </row>
    <row r="39" spans="1:9" x14ac:dyDescent="0.55000000000000004">
      <c r="A39" s="1">
        <v>38</v>
      </c>
      <c r="B39" s="1" t="s">
        <v>44</v>
      </c>
      <c r="C39" s="2">
        <v>19</v>
      </c>
      <c r="D39" s="2">
        <v>735187</v>
      </c>
      <c r="E39" s="2">
        <v>38694.052631578947</v>
      </c>
      <c r="G39"/>
      <c r="H39"/>
      <c r="I39"/>
    </row>
    <row r="40" spans="1:9" x14ac:dyDescent="0.55000000000000004">
      <c r="A40" s="1">
        <v>39</v>
      </c>
      <c r="B40" s="1" t="s">
        <v>64</v>
      </c>
      <c r="C40" s="2">
        <v>19</v>
      </c>
      <c r="D40" s="2">
        <v>711544</v>
      </c>
      <c r="E40" s="2">
        <v>37449.684210526313</v>
      </c>
      <c r="G40"/>
      <c r="H40"/>
      <c r="I40"/>
    </row>
    <row r="41" spans="1:9" x14ac:dyDescent="0.55000000000000004">
      <c r="A41" s="1">
        <v>40</v>
      </c>
      <c r="B41" s="1" t="s">
        <v>45</v>
      </c>
      <c r="C41" s="2">
        <v>19</v>
      </c>
      <c r="D41" s="2">
        <v>710041</v>
      </c>
      <c r="E41" s="2">
        <v>37370.57894736842</v>
      </c>
      <c r="G41"/>
      <c r="H41"/>
      <c r="I41"/>
    </row>
    <row r="42" spans="1:9" x14ac:dyDescent="0.55000000000000004">
      <c r="A42" s="1">
        <v>41</v>
      </c>
      <c r="B42" s="1" t="s">
        <v>46</v>
      </c>
      <c r="C42" s="2">
        <v>19</v>
      </c>
      <c r="D42" s="2">
        <v>628281</v>
      </c>
      <c r="E42" s="2">
        <v>33067.42105263158</v>
      </c>
      <c r="G42"/>
      <c r="H42"/>
      <c r="I42"/>
    </row>
    <row r="43" spans="1:9" x14ac:dyDescent="0.55000000000000004">
      <c r="A43" s="1">
        <v>42</v>
      </c>
      <c r="B43" s="1" t="s">
        <v>65</v>
      </c>
      <c r="C43" s="2">
        <v>19</v>
      </c>
      <c r="D43" s="2">
        <v>626000</v>
      </c>
      <c r="E43" s="2">
        <v>32947.368421052633</v>
      </c>
      <c r="G43"/>
      <c r="H43"/>
      <c r="I43"/>
    </row>
    <row r="44" spans="1:9" x14ac:dyDescent="0.55000000000000004">
      <c r="A44" s="1">
        <v>43</v>
      </c>
      <c r="B44" s="1" t="s">
        <v>14</v>
      </c>
      <c r="C44" s="2">
        <v>19</v>
      </c>
      <c r="D44" s="2">
        <v>600083</v>
      </c>
      <c r="E44" s="2">
        <v>31583.315789473683</v>
      </c>
      <c r="G44"/>
      <c r="H44"/>
      <c r="I44"/>
    </row>
    <row r="45" spans="1:9" x14ac:dyDescent="0.55000000000000004">
      <c r="A45" s="1">
        <v>44</v>
      </c>
      <c r="B45" s="1" t="s">
        <v>83</v>
      </c>
      <c r="C45" s="2">
        <v>19</v>
      </c>
      <c r="D45" s="2">
        <v>597608</v>
      </c>
      <c r="E45" s="2">
        <v>31453.052631578947</v>
      </c>
      <c r="G45"/>
      <c r="H45"/>
      <c r="I45"/>
    </row>
    <row r="46" spans="1:9" x14ac:dyDescent="0.55000000000000004">
      <c r="A46" s="1">
        <v>45</v>
      </c>
      <c r="B46" s="1" t="s">
        <v>15</v>
      </c>
      <c r="C46" s="2">
        <v>19</v>
      </c>
      <c r="D46" s="2">
        <v>585084</v>
      </c>
      <c r="E46" s="2">
        <v>30793.894736842107</v>
      </c>
      <c r="G46"/>
      <c r="H46"/>
      <c r="I46"/>
    </row>
    <row r="47" spans="1:9" x14ac:dyDescent="0.55000000000000004">
      <c r="A47" s="1">
        <v>46</v>
      </c>
      <c r="B47" s="1" t="s">
        <v>16</v>
      </c>
      <c r="C47" s="2">
        <v>19</v>
      </c>
      <c r="D47" s="2">
        <v>577701</v>
      </c>
      <c r="E47" s="2">
        <v>30405.315789473683</v>
      </c>
      <c r="G47"/>
      <c r="H47"/>
      <c r="I47"/>
    </row>
    <row r="48" spans="1:9" x14ac:dyDescent="0.55000000000000004">
      <c r="A48" s="1">
        <v>47</v>
      </c>
      <c r="B48" s="1" t="s">
        <v>17</v>
      </c>
      <c r="C48" s="2">
        <v>19</v>
      </c>
      <c r="D48" s="2">
        <v>556317</v>
      </c>
      <c r="E48" s="2">
        <v>29279.842105263157</v>
      </c>
      <c r="G48"/>
      <c r="H48"/>
      <c r="I48"/>
    </row>
    <row r="49" spans="1:9" x14ac:dyDescent="0.55000000000000004">
      <c r="A49" s="1">
        <v>48</v>
      </c>
      <c r="B49" s="1" t="s">
        <v>118</v>
      </c>
      <c r="C49" s="2">
        <v>17</v>
      </c>
      <c r="D49" s="2">
        <v>489027</v>
      </c>
      <c r="E49" s="2">
        <v>28766.294117647059</v>
      </c>
      <c r="G49"/>
      <c r="H49"/>
      <c r="I49"/>
    </row>
    <row r="50" spans="1:9" x14ac:dyDescent="0.55000000000000004">
      <c r="A50" s="1">
        <v>49</v>
      </c>
      <c r="B50" s="1" t="s">
        <v>35</v>
      </c>
      <c r="C50" s="2">
        <v>17</v>
      </c>
      <c r="D50" s="2">
        <v>488180</v>
      </c>
      <c r="E50" s="2">
        <v>28716.470588235294</v>
      </c>
      <c r="G50"/>
      <c r="H50"/>
      <c r="I50"/>
    </row>
    <row r="51" spans="1:9" x14ac:dyDescent="0.55000000000000004">
      <c r="A51" s="1">
        <v>50</v>
      </c>
      <c r="B51" s="1" t="s">
        <v>36</v>
      </c>
      <c r="C51" s="2">
        <v>17</v>
      </c>
      <c r="D51" s="2">
        <v>483063</v>
      </c>
      <c r="E51" s="2">
        <v>28415.470588235294</v>
      </c>
      <c r="G51"/>
      <c r="H51"/>
      <c r="I51"/>
    </row>
    <row r="52" spans="1:9" x14ac:dyDescent="0.55000000000000004">
      <c r="A52" s="1">
        <v>51</v>
      </c>
      <c r="B52" s="1" t="s">
        <v>37</v>
      </c>
      <c r="C52" s="2">
        <v>17</v>
      </c>
      <c r="D52" s="2">
        <v>480049</v>
      </c>
      <c r="E52" s="2">
        <v>28238.176470588234</v>
      </c>
      <c r="G52"/>
      <c r="H52"/>
      <c r="I52"/>
    </row>
    <row r="53" spans="1:9" x14ac:dyDescent="0.55000000000000004">
      <c r="A53" s="1">
        <v>52</v>
      </c>
      <c r="B53" s="1" t="s">
        <v>84</v>
      </c>
      <c r="C53" s="2">
        <v>19</v>
      </c>
      <c r="D53" s="2">
        <v>534629</v>
      </c>
      <c r="E53" s="2">
        <v>28138.36842105263</v>
      </c>
      <c r="G53"/>
      <c r="H53"/>
      <c r="I53"/>
    </row>
    <row r="54" spans="1:9" x14ac:dyDescent="0.55000000000000004">
      <c r="A54" s="1">
        <v>53</v>
      </c>
      <c r="B54" s="1" t="s">
        <v>102</v>
      </c>
      <c r="C54" s="2">
        <v>9</v>
      </c>
      <c r="D54" s="2">
        <v>236719</v>
      </c>
      <c r="E54" s="2">
        <v>26302</v>
      </c>
      <c r="G54"/>
      <c r="H54"/>
      <c r="I54"/>
    </row>
    <row r="55" spans="1:9" x14ac:dyDescent="0.55000000000000004">
      <c r="A55" s="1">
        <v>54</v>
      </c>
      <c r="B55" s="1" t="s">
        <v>66</v>
      </c>
      <c r="C55" s="2">
        <v>19</v>
      </c>
      <c r="D55" s="2">
        <v>495756</v>
      </c>
      <c r="E55" s="2">
        <v>26092.42105263158</v>
      </c>
      <c r="G55"/>
      <c r="H55"/>
      <c r="I55"/>
    </row>
    <row r="56" spans="1:9" x14ac:dyDescent="0.55000000000000004">
      <c r="A56" s="1">
        <v>55</v>
      </c>
      <c r="B56" s="1" t="s">
        <v>85</v>
      </c>
      <c r="C56" s="2">
        <v>19</v>
      </c>
      <c r="D56" s="2">
        <v>494459</v>
      </c>
      <c r="E56" s="2">
        <v>26024.157894736843</v>
      </c>
      <c r="G56"/>
      <c r="H56"/>
      <c r="I56"/>
    </row>
    <row r="57" spans="1:9" x14ac:dyDescent="0.55000000000000004">
      <c r="A57" s="1">
        <v>56</v>
      </c>
      <c r="B57" s="1" t="s">
        <v>38</v>
      </c>
      <c r="C57" s="2">
        <v>17</v>
      </c>
      <c r="D57" s="2">
        <v>437119</v>
      </c>
      <c r="E57" s="2">
        <v>25712.882352941175</v>
      </c>
      <c r="G57"/>
      <c r="H57"/>
      <c r="I57"/>
    </row>
    <row r="58" spans="1:9" x14ac:dyDescent="0.55000000000000004">
      <c r="A58" s="1">
        <v>57</v>
      </c>
      <c r="B58" s="1" t="s">
        <v>18</v>
      </c>
      <c r="C58" s="2">
        <v>19</v>
      </c>
      <c r="D58" s="2">
        <v>476189</v>
      </c>
      <c r="E58" s="2">
        <v>25062.57894736842</v>
      </c>
      <c r="G58"/>
      <c r="H58"/>
      <c r="I58"/>
    </row>
    <row r="59" spans="1:9" x14ac:dyDescent="0.55000000000000004">
      <c r="A59" s="1">
        <v>58</v>
      </c>
      <c r="B59" s="1" t="s">
        <v>86</v>
      </c>
      <c r="C59" s="2">
        <v>19</v>
      </c>
      <c r="D59" s="2">
        <v>466626</v>
      </c>
      <c r="E59" s="2">
        <v>24559.263157894737</v>
      </c>
      <c r="G59"/>
      <c r="H59"/>
      <c r="I59"/>
    </row>
    <row r="60" spans="1:9" x14ac:dyDescent="0.55000000000000004">
      <c r="A60" s="1">
        <v>59</v>
      </c>
      <c r="B60" s="1" t="s">
        <v>19</v>
      </c>
      <c r="C60" s="2">
        <v>19</v>
      </c>
      <c r="D60" s="2">
        <v>465878</v>
      </c>
      <c r="E60" s="2">
        <v>24519.894736842107</v>
      </c>
      <c r="G60"/>
      <c r="H60"/>
      <c r="I60"/>
    </row>
    <row r="61" spans="1:9" x14ac:dyDescent="0.55000000000000004">
      <c r="A61" s="1">
        <v>60</v>
      </c>
      <c r="B61" s="1" t="s">
        <v>119</v>
      </c>
      <c r="C61" s="2">
        <v>10</v>
      </c>
      <c r="D61" s="2">
        <v>244182</v>
      </c>
      <c r="E61" s="2">
        <v>24418</v>
      </c>
      <c r="G61"/>
      <c r="H61"/>
      <c r="I61"/>
    </row>
    <row r="62" spans="1:9" x14ac:dyDescent="0.55000000000000004">
      <c r="A62" s="1">
        <v>61</v>
      </c>
      <c r="B62" s="1" t="s">
        <v>87</v>
      </c>
      <c r="C62" s="2">
        <v>19</v>
      </c>
      <c r="D62" s="2">
        <v>457218</v>
      </c>
      <c r="E62" s="2">
        <v>24064.105263157893</v>
      </c>
      <c r="G62"/>
      <c r="H62"/>
      <c r="I62"/>
    </row>
    <row r="63" spans="1:9" x14ac:dyDescent="0.55000000000000004">
      <c r="A63" s="1">
        <v>62</v>
      </c>
      <c r="B63" s="1" t="s">
        <v>20</v>
      </c>
      <c r="C63" s="2">
        <v>19</v>
      </c>
      <c r="D63" s="2">
        <v>456757</v>
      </c>
      <c r="E63" s="2">
        <v>24039.842105263157</v>
      </c>
      <c r="G63"/>
      <c r="H63"/>
      <c r="I63"/>
    </row>
    <row r="64" spans="1:9" x14ac:dyDescent="0.55000000000000004">
      <c r="A64" s="1">
        <v>63</v>
      </c>
      <c r="B64" s="1" t="s">
        <v>120</v>
      </c>
      <c r="C64" s="2">
        <v>10</v>
      </c>
      <c r="D64" s="2">
        <v>240382</v>
      </c>
      <c r="E64" s="2">
        <v>24038</v>
      </c>
      <c r="G64"/>
      <c r="H64"/>
      <c r="I64"/>
    </row>
    <row r="65" spans="1:9" x14ac:dyDescent="0.55000000000000004">
      <c r="A65" s="1">
        <v>64</v>
      </c>
      <c r="B65" s="1" t="s">
        <v>39</v>
      </c>
      <c r="C65" s="2">
        <v>17</v>
      </c>
      <c r="D65" s="2">
        <v>406200</v>
      </c>
      <c r="E65" s="2">
        <v>23894.117647058825</v>
      </c>
      <c r="G65"/>
      <c r="H65"/>
      <c r="I65"/>
    </row>
    <row r="66" spans="1:9" x14ac:dyDescent="0.55000000000000004">
      <c r="A66" s="1">
        <v>65</v>
      </c>
      <c r="B66" s="1" t="s">
        <v>88</v>
      </c>
      <c r="C66" s="2">
        <v>19</v>
      </c>
      <c r="D66" s="2">
        <v>439111</v>
      </c>
      <c r="E66" s="2">
        <v>23111.105263157893</v>
      </c>
      <c r="G66"/>
      <c r="H66"/>
      <c r="I66"/>
    </row>
    <row r="67" spans="1:9" x14ac:dyDescent="0.55000000000000004">
      <c r="A67" s="1">
        <v>66</v>
      </c>
      <c r="B67" s="1" t="s">
        <v>89</v>
      </c>
      <c r="C67" s="2">
        <v>19</v>
      </c>
      <c r="D67" s="2">
        <v>434653</v>
      </c>
      <c r="E67" s="2">
        <v>22876.473684210527</v>
      </c>
      <c r="G67"/>
      <c r="H67"/>
      <c r="I67"/>
    </row>
    <row r="68" spans="1:9" x14ac:dyDescent="0.55000000000000004">
      <c r="A68" s="1">
        <v>67</v>
      </c>
      <c r="B68" s="1" t="s">
        <v>121</v>
      </c>
      <c r="C68" s="2">
        <v>11</v>
      </c>
      <c r="D68" s="2">
        <v>248496</v>
      </c>
      <c r="E68" s="2">
        <v>22591</v>
      </c>
      <c r="G68"/>
      <c r="H68"/>
      <c r="I68"/>
    </row>
    <row r="69" spans="1:9" x14ac:dyDescent="0.55000000000000004">
      <c r="A69" s="1">
        <v>68</v>
      </c>
      <c r="B69" s="1" t="s">
        <v>122</v>
      </c>
      <c r="C69" s="2">
        <v>9</v>
      </c>
      <c r="D69" s="2">
        <v>198000</v>
      </c>
      <c r="E69" s="2">
        <v>22000</v>
      </c>
      <c r="G69"/>
      <c r="H69"/>
      <c r="I69"/>
    </row>
    <row r="70" spans="1:9" x14ac:dyDescent="0.55000000000000004">
      <c r="A70" s="1">
        <v>69</v>
      </c>
      <c r="B70" s="1" t="s">
        <v>103</v>
      </c>
      <c r="C70" s="2">
        <v>8</v>
      </c>
      <c r="D70" s="2">
        <v>173943</v>
      </c>
      <c r="E70" s="2">
        <v>21743</v>
      </c>
      <c r="G70"/>
      <c r="H70"/>
      <c r="I70"/>
    </row>
    <row r="71" spans="1:9" x14ac:dyDescent="0.55000000000000004">
      <c r="A71" s="1">
        <v>70</v>
      </c>
      <c r="B71" s="1" t="s">
        <v>104</v>
      </c>
      <c r="C71" s="2">
        <v>10</v>
      </c>
      <c r="D71" s="2">
        <v>214928</v>
      </c>
      <c r="E71" s="2">
        <v>21493</v>
      </c>
      <c r="G71"/>
      <c r="H71"/>
      <c r="I71"/>
    </row>
    <row r="72" spans="1:9" x14ac:dyDescent="0.55000000000000004">
      <c r="A72" s="1">
        <v>71</v>
      </c>
      <c r="B72" s="1" t="s">
        <v>123</v>
      </c>
      <c r="C72" s="2">
        <v>10</v>
      </c>
      <c r="D72" s="2">
        <v>213151</v>
      </c>
      <c r="E72" s="2">
        <v>21315</v>
      </c>
      <c r="G72"/>
      <c r="H72"/>
      <c r="I72"/>
    </row>
    <row r="73" spans="1:9" x14ac:dyDescent="0.55000000000000004">
      <c r="A73" s="1">
        <v>72</v>
      </c>
      <c r="B73" s="1" t="s">
        <v>105</v>
      </c>
      <c r="C73" s="2">
        <v>7</v>
      </c>
      <c r="D73" s="2">
        <v>148008</v>
      </c>
      <c r="E73" s="2">
        <v>21144</v>
      </c>
      <c r="G73"/>
      <c r="H73"/>
      <c r="I73"/>
    </row>
    <row r="74" spans="1:9" x14ac:dyDescent="0.55000000000000004">
      <c r="A74" s="1">
        <v>73</v>
      </c>
      <c r="B74" s="1" t="s">
        <v>67</v>
      </c>
      <c r="C74" s="2">
        <v>19</v>
      </c>
      <c r="D74" s="2">
        <v>401325</v>
      </c>
      <c r="E74" s="2">
        <v>21122.36842105263</v>
      </c>
      <c r="G74"/>
      <c r="H74"/>
      <c r="I74"/>
    </row>
    <row r="75" spans="1:9" x14ac:dyDescent="0.55000000000000004">
      <c r="A75" s="1">
        <v>74</v>
      </c>
      <c r="B75" s="1" t="s">
        <v>68</v>
      </c>
      <c r="C75" s="2">
        <v>19</v>
      </c>
      <c r="D75" s="2">
        <v>395885</v>
      </c>
      <c r="E75" s="2">
        <v>20836.052631578947</v>
      </c>
      <c r="G75"/>
      <c r="H75"/>
      <c r="I75"/>
    </row>
    <row r="76" spans="1:9" x14ac:dyDescent="0.55000000000000004">
      <c r="A76" s="1">
        <v>75</v>
      </c>
      <c r="B76" s="1" t="s">
        <v>21</v>
      </c>
      <c r="C76" s="2">
        <v>19</v>
      </c>
      <c r="D76" s="2">
        <v>393080</v>
      </c>
      <c r="E76" s="2">
        <v>20688.42105263158</v>
      </c>
      <c r="G76"/>
      <c r="H76"/>
      <c r="I76"/>
    </row>
    <row r="77" spans="1:9" x14ac:dyDescent="0.55000000000000004">
      <c r="A77" s="1">
        <v>76</v>
      </c>
      <c r="B77" s="1" t="s">
        <v>47</v>
      </c>
      <c r="C77" s="2">
        <v>19</v>
      </c>
      <c r="D77" s="2">
        <v>392052</v>
      </c>
      <c r="E77" s="2">
        <v>20634.315789473683</v>
      </c>
      <c r="G77"/>
      <c r="H77"/>
      <c r="I77"/>
    </row>
    <row r="78" spans="1:9" x14ac:dyDescent="0.55000000000000004">
      <c r="A78" s="1">
        <v>77</v>
      </c>
      <c r="B78" s="1" t="s">
        <v>22</v>
      </c>
      <c r="C78" s="2">
        <v>19</v>
      </c>
      <c r="D78" s="2">
        <v>391830</v>
      </c>
      <c r="E78" s="2">
        <v>20622.63157894737</v>
      </c>
      <c r="G78"/>
      <c r="H78"/>
      <c r="I78"/>
    </row>
    <row r="79" spans="1:9" x14ac:dyDescent="0.55000000000000004">
      <c r="A79" s="1">
        <v>78</v>
      </c>
      <c r="B79" s="1" t="s">
        <v>48</v>
      </c>
      <c r="C79" s="2">
        <v>19</v>
      </c>
      <c r="D79" s="2">
        <v>387302</v>
      </c>
      <c r="E79" s="2">
        <v>20384.315789473683</v>
      </c>
      <c r="G79"/>
      <c r="H79"/>
      <c r="I79"/>
    </row>
    <row r="80" spans="1:9" x14ac:dyDescent="0.55000000000000004">
      <c r="A80" s="1">
        <v>79</v>
      </c>
      <c r="B80" s="1" t="s">
        <v>23</v>
      </c>
      <c r="C80" s="2">
        <v>19</v>
      </c>
      <c r="D80" s="2">
        <v>384388</v>
      </c>
      <c r="E80" s="2">
        <v>20230.947368421053</v>
      </c>
      <c r="G80"/>
      <c r="H80"/>
      <c r="I80"/>
    </row>
    <row r="81" spans="1:9" x14ac:dyDescent="0.55000000000000004">
      <c r="A81" s="1">
        <v>80</v>
      </c>
      <c r="B81" s="1" t="s">
        <v>69</v>
      </c>
      <c r="C81" s="2">
        <v>19</v>
      </c>
      <c r="D81" s="2">
        <v>381242</v>
      </c>
      <c r="E81" s="2">
        <v>20065.36842105263</v>
      </c>
      <c r="G81"/>
      <c r="H81"/>
      <c r="I81"/>
    </row>
    <row r="82" spans="1:9" x14ac:dyDescent="0.55000000000000004">
      <c r="A82" s="1">
        <v>81</v>
      </c>
      <c r="B82" s="1" t="s">
        <v>124</v>
      </c>
      <c r="C82" s="2">
        <v>10</v>
      </c>
      <c r="D82" s="2">
        <v>199338</v>
      </c>
      <c r="E82" s="2">
        <v>19934</v>
      </c>
      <c r="G82"/>
      <c r="H82"/>
      <c r="I82"/>
    </row>
    <row r="83" spans="1:9" x14ac:dyDescent="0.55000000000000004">
      <c r="A83" s="1">
        <v>82</v>
      </c>
      <c r="B83" s="1" t="s">
        <v>49</v>
      </c>
      <c r="C83" s="2">
        <v>19</v>
      </c>
      <c r="D83" s="2">
        <v>374634</v>
      </c>
      <c r="E83" s="2">
        <v>19717.57894736842</v>
      </c>
      <c r="G83"/>
      <c r="H83"/>
      <c r="I83"/>
    </row>
    <row r="84" spans="1:9" x14ac:dyDescent="0.55000000000000004">
      <c r="A84" s="1">
        <v>83</v>
      </c>
      <c r="B84" s="1" t="s">
        <v>70</v>
      </c>
      <c r="C84" s="2">
        <v>19</v>
      </c>
      <c r="D84" s="2">
        <v>353331</v>
      </c>
      <c r="E84" s="2">
        <v>18596.36842105263</v>
      </c>
      <c r="G84"/>
      <c r="H84"/>
      <c r="I84"/>
    </row>
    <row r="85" spans="1:9" x14ac:dyDescent="0.55000000000000004">
      <c r="A85" s="1">
        <v>84</v>
      </c>
      <c r="B85" s="1" t="s">
        <v>125</v>
      </c>
      <c r="C85" s="2">
        <v>11</v>
      </c>
      <c r="D85" s="2">
        <v>203346</v>
      </c>
      <c r="E85" s="2">
        <v>18486</v>
      </c>
      <c r="G85"/>
      <c r="H85"/>
      <c r="I85"/>
    </row>
    <row r="86" spans="1:9" x14ac:dyDescent="0.55000000000000004">
      <c r="A86" s="1">
        <v>85</v>
      </c>
      <c r="B86" s="1" t="s">
        <v>71</v>
      </c>
      <c r="C86" s="2">
        <v>19</v>
      </c>
      <c r="D86" s="2">
        <v>345362</v>
      </c>
      <c r="E86" s="2">
        <v>18176.947368421053</v>
      </c>
      <c r="G86"/>
      <c r="H86"/>
      <c r="I86"/>
    </row>
    <row r="87" spans="1:9" x14ac:dyDescent="0.55000000000000004">
      <c r="A87" s="1">
        <v>86</v>
      </c>
      <c r="B87" s="1" t="s">
        <v>126</v>
      </c>
      <c r="C87" s="2">
        <v>9</v>
      </c>
      <c r="D87" s="2">
        <v>163149</v>
      </c>
      <c r="E87" s="2">
        <v>18128</v>
      </c>
      <c r="G87"/>
      <c r="H87"/>
      <c r="I87"/>
    </row>
    <row r="88" spans="1:9" x14ac:dyDescent="0.55000000000000004">
      <c r="A88" s="1">
        <v>87</v>
      </c>
      <c r="B88" s="1" t="s">
        <v>127</v>
      </c>
      <c r="C88" s="2">
        <v>10</v>
      </c>
      <c r="D88" s="2">
        <v>180660</v>
      </c>
      <c r="E88" s="2">
        <v>18066</v>
      </c>
      <c r="G88"/>
      <c r="H88"/>
      <c r="I88"/>
    </row>
    <row r="89" spans="1:9" x14ac:dyDescent="0.55000000000000004">
      <c r="A89" s="1">
        <v>88</v>
      </c>
      <c r="B89" s="1" t="s">
        <v>72</v>
      </c>
      <c r="C89" s="2">
        <v>19</v>
      </c>
      <c r="D89" s="2">
        <v>340492</v>
      </c>
      <c r="E89" s="2">
        <v>17920.63157894737</v>
      </c>
      <c r="G89"/>
      <c r="H89"/>
      <c r="I89"/>
    </row>
    <row r="90" spans="1:9" x14ac:dyDescent="0.55000000000000004">
      <c r="A90" s="1">
        <v>89</v>
      </c>
      <c r="B90" s="1" t="s">
        <v>106</v>
      </c>
      <c r="C90" s="2">
        <v>10</v>
      </c>
      <c r="D90" s="2">
        <v>177643</v>
      </c>
      <c r="E90" s="2">
        <v>17764</v>
      </c>
      <c r="G90"/>
      <c r="H90"/>
      <c r="I90"/>
    </row>
    <row r="91" spans="1:9" x14ac:dyDescent="0.55000000000000004">
      <c r="A91" s="1">
        <v>90</v>
      </c>
      <c r="B91" s="1" t="s">
        <v>50</v>
      </c>
      <c r="C91" s="2">
        <v>19</v>
      </c>
      <c r="D91" s="2">
        <v>336029</v>
      </c>
      <c r="E91" s="2">
        <v>17685.736842105263</v>
      </c>
      <c r="G91"/>
      <c r="H91"/>
      <c r="I91"/>
    </row>
    <row r="92" spans="1:9" x14ac:dyDescent="0.55000000000000004">
      <c r="A92" s="1">
        <v>91</v>
      </c>
      <c r="B92" s="1" t="s">
        <v>51</v>
      </c>
      <c r="C92" s="2">
        <v>19</v>
      </c>
      <c r="D92" s="2">
        <v>334957</v>
      </c>
      <c r="E92" s="2">
        <v>17629.315789473683</v>
      </c>
      <c r="G92"/>
      <c r="H92"/>
      <c r="I92"/>
    </row>
    <row r="93" spans="1:9" x14ac:dyDescent="0.55000000000000004">
      <c r="A93" s="1">
        <v>92</v>
      </c>
      <c r="B93" s="1" t="s">
        <v>107</v>
      </c>
      <c r="C93" s="2">
        <v>9</v>
      </c>
      <c r="D93" s="2">
        <v>157209</v>
      </c>
      <c r="E93" s="2">
        <v>17468</v>
      </c>
      <c r="G93"/>
      <c r="H93"/>
      <c r="I93"/>
    </row>
    <row r="94" spans="1:9" x14ac:dyDescent="0.55000000000000004">
      <c r="A94" s="1">
        <v>93</v>
      </c>
      <c r="B94" s="1" t="s">
        <v>73</v>
      </c>
      <c r="C94" s="2">
        <v>19</v>
      </c>
      <c r="D94" s="2">
        <v>329324</v>
      </c>
      <c r="E94" s="2">
        <v>17332.842105263157</v>
      </c>
      <c r="G94"/>
      <c r="H94"/>
      <c r="I94"/>
    </row>
    <row r="95" spans="1:9" x14ac:dyDescent="0.55000000000000004">
      <c r="A95" s="1">
        <v>94</v>
      </c>
      <c r="B95" s="1" t="s">
        <v>90</v>
      </c>
      <c r="C95" s="2">
        <v>19</v>
      </c>
      <c r="D95" s="2">
        <v>326545</v>
      </c>
      <c r="E95" s="2">
        <v>17186.57894736842</v>
      </c>
      <c r="G95"/>
      <c r="H95"/>
      <c r="I95"/>
    </row>
    <row r="96" spans="1:9" x14ac:dyDescent="0.55000000000000004">
      <c r="A96" s="1">
        <v>95</v>
      </c>
      <c r="B96" s="1" t="s">
        <v>91</v>
      </c>
      <c r="C96" s="2">
        <v>19</v>
      </c>
      <c r="D96" s="2">
        <v>321656</v>
      </c>
      <c r="E96" s="2">
        <v>16929.263157894737</v>
      </c>
      <c r="G96"/>
      <c r="H96"/>
      <c r="I96"/>
    </row>
    <row r="97" spans="1:9" x14ac:dyDescent="0.55000000000000004">
      <c r="A97" s="1">
        <v>96</v>
      </c>
      <c r="B97" s="1" t="s">
        <v>52</v>
      </c>
      <c r="C97" s="2">
        <v>19</v>
      </c>
      <c r="D97" s="2">
        <v>316997</v>
      </c>
      <c r="E97" s="2">
        <v>16684.052631578947</v>
      </c>
      <c r="G97"/>
      <c r="H97"/>
      <c r="I97"/>
    </row>
    <row r="98" spans="1:9" x14ac:dyDescent="0.55000000000000004">
      <c r="A98" s="1">
        <v>97</v>
      </c>
      <c r="B98" s="1" t="s">
        <v>53</v>
      </c>
      <c r="C98" s="2">
        <v>19</v>
      </c>
      <c r="D98" s="2">
        <v>309548</v>
      </c>
      <c r="E98" s="2">
        <v>16292</v>
      </c>
      <c r="G98"/>
      <c r="H98"/>
      <c r="I98"/>
    </row>
    <row r="99" spans="1:9" x14ac:dyDescent="0.55000000000000004">
      <c r="A99" s="1">
        <v>98</v>
      </c>
      <c r="B99" s="1" t="s">
        <v>54</v>
      </c>
      <c r="C99" s="2">
        <v>19</v>
      </c>
      <c r="D99" s="2">
        <v>306393</v>
      </c>
      <c r="E99" s="2">
        <v>16125.947368421053</v>
      </c>
      <c r="G99"/>
      <c r="H99"/>
      <c r="I99"/>
    </row>
    <row r="100" spans="1:9" x14ac:dyDescent="0.55000000000000004">
      <c r="A100" s="1">
        <v>99</v>
      </c>
      <c r="B100" s="1" t="s">
        <v>131</v>
      </c>
      <c r="C100" s="2">
        <v>17</v>
      </c>
      <c r="D100" s="2">
        <v>272255</v>
      </c>
      <c r="E100" s="2">
        <v>16015</v>
      </c>
      <c r="G100"/>
      <c r="H100"/>
      <c r="I100"/>
    </row>
    <row r="101" spans="1:9" x14ac:dyDescent="0.55000000000000004">
      <c r="A101" s="1">
        <v>100</v>
      </c>
      <c r="B101" s="1" t="s">
        <v>108</v>
      </c>
      <c r="C101" s="2">
        <v>10</v>
      </c>
      <c r="D101" s="2">
        <v>158687</v>
      </c>
      <c r="E101" s="2">
        <v>15869</v>
      </c>
      <c r="G101"/>
      <c r="H101"/>
      <c r="I101"/>
    </row>
    <row r="102" spans="1:9" x14ac:dyDescent="0.55000000000000004">
      <c r="A102" s="1">
        <v>101</v>
      </c>
      <c r="B102" s="1" t="s">
        <v>55</v>
      </c>
      <c r="C102" s="2">
        <v>19</v>
      </c>
      <c r="D102" s="2">
        <v>289565</v>
      </c>
      <c r="E102" s="2">
        <v>15240.263157894737</v>
      </c>
      <c r="G102"/>
      <c r="H102"/>
      <c r="I102"/>
    </row>
    <row r="103" spans="1:9" x14ac:dyDescent="0.55000000000000004">
      <c r="A103" s="1">
        <v>102</v>
      </c>
      <c r="B103" s="1" t="s">
        <v>109</v>
      </c>
      <c r="C103" s="2">
        <v>11</v>
      </c>
      <c r="D103" s="2">
        <v>165442</v>
      </c>
      <c r="E103" s="2">
        <v>15040</v>
      </c>
      <c r="G103"/>
      <c r="H103"/>
      <c r="I103"/>
    </row>
    <row r="104" spans="1:9" x14ac:dyDescent="0.55000000000000004">
      <c r="A104" s="1">
        <v>103</v>
      </c>
      <c r="B104" s="1" t="s">
        <v>92</v>
      </c>
      <c r="C104" s="2">
        <v>19</v>
      </c>
      <c r="D104" s="2">
        <v>282033</v>
      </c>
      <c r="E104" s="2">
        <v>14843.842105263158</v>
      </c>
      <c r="G104"/>
      <c r="H104"/>
      <c r="I104"/>
    </row>
    <row r="105" spans="1:9" x14ac:dyDescent="0.55000000000000004">
      <c r="A105" s="1">
        <v>104</v>
      </c>
      <c r="B105" s="1" t="s">
        <v>110</v>
      </c>
      <c r="C105" s="2">
        <v>11</v>
      </c>
      <c r="D105" s="2">
        <v>162838</v>
      </c>
      <c r="E105" s="2">
        <v>14803</v>
      </c>
      <c r="G105"/>
      <c r="H105"/>
      <c r="I105"/>
    </row>
    <row r="106" spans="1:9" x14ac:dyDescent="0.55000000000000004">
      <c r="A106" s="1">
        <v>105</v>
      </c>
      <c r="B106" s="1" t="s">
        <v>74</v>
      </c>
      <c r="C106" s="2">
        <v>19</v>
      </c>
      <c r="D106" s="2">
        <v>278360</v>
      </c>
      <c r="E106" s="2">
        <v>14650.526315789473</v>
      </c>
      <c r="G106"/>
      <c r="H106"/>
      <c r="I106"/>
    </row>
    <row r="107" spans="1:9" x14ac:dyDescent="0.55000000000000004">
      <c r="A107" s="1">
        <v>106</v>
      </c>
      <c r="B107" s="1" t="s">
        <v>93</v>
      </c>
      <c r="C107" s="2">
        <v>19</v>
      </c>
      <c r="D107" s="2">
        <v>275531</v>
      </c>
      <c r="E107" s="2">
        <v>14501.631578947368</v>
      </c>
      <c r="G107"/>
      <c r="H107"/>
      <c r="I107"/>
    </row>
    <row r="108" spans="1:9" x14ac:dyDescent="0.55000000000000004">
      <c r="A108" s="1">
        <v>107</v>
      </c>
      <c r="B108" s="1" t="s">
        <v>111</v>
      </c>
      <c r="C108" s="2">
        <v>11</v>
      </c>
      <c r="D108" s="2">
        <v>155699</v>
      </c>
      <c r="E108" s="2">
        <v>14154</v>
      </c>
      <c r="G108"/>
      <c r="H108"/>
      <c r="I108"/>
    </row>
    <row r="109" spans="1:9" x14ac:dyDescent="0.55000000000000004">
      <c r="A109" s="1">
        <v>108</v>
      </c>
      <c r="B109" s="1" t="s">
        <v>94</v>
      </c>
      <c r="C109" s="2">
        <v>19</v>
      </c>
      <c r="D109" s="2">
        <v>255697</v>
      </c>
      <c r="E109" s="2">
        <v>13457.736842105263</v>
      </c>
      <c r="G109"/>
      <c r="H109"/>
      <c r="I109"/>
    </row>
    <row r="110" spans="1:9" x14ac:dyDescent="0.55000000000000004">
      <c r="A110" s="1">
        <v>109</v>
      </c>
      <c r="B110" s="1" t="s">
        <v>112</v>
      </c>
      <c r="C110" s="2">
        <v>3</v>
      </c>
      <c r="D110" s="2">
        <v>38028</v>
      </c>
      <c r="E110" s="2">
        <v>12676</v>
      </c>
      <c r="G110"/>
      <c r="H110"/>
      <c r="I110"/>
    </row>
    <row r="111" spans="1:9" x14ac:dyDescent="0.55000000000000004">
      <c r="A111" s="1">
        <v>110</v>
      </c>
      <c r="B111" s="1" t="s">
        <v>95</v>
      </c>
      <c r="C111" s="2">
        <v>19</v>
      </c>
      <c r="D111" s="2">
        <v>232338</v>
      </c>
      <c r="E111" s="2">
        <v>12228.315789473685</v>
      </c>
      <c r="G111"/>
      <c r="H111"/>
      <c r="I111"/>
    </row>
    <row r="112" spans="1:9" x14ac:dyDescent="0.55000000000000004">
      <c r="A112" s="1">
        <v>111</v>
      </c>
      <c r="B112" s="1" t="s">
        <v>75</v>
      </c>
      <c r="C112" s="2">
        <v>19</v>
      </c>
      <c r="D112" s="2">
        <v>231277</v>
      </c>
      <c r="E112" s="2">
        <v>12172.473684210527</v>
      </c>
      <c r="G112"/>
      <c r="H112"/>
      <c r="I112"/>
    </row>
    <row r="113" spans="1:9" x14ac:dyDescent="0.55000000000000004">
      <c r="A113" s="1">
        <v>112</v>
      </c>
      <c r="B113" s="1" t="s">
        <v>76</v>
      </c>
      <c r="C113" s="2">
        <v>19</v>
      </c>
      <c r="D113" s="2">
        <v>228591</v>
      </c>
      <c r="E113" s="2">
        <v>12031.105263157895</v>
      </c>
      <c r="G113"/>
      <c r="H113"/>
      <c r="I113"/>
    </row>
    <row r="114" spans="1:9" x14ac:dyDescent="0.55000000000000004">
      <c r="A114" s="1">
        <v>113</v>
      </c>
      <c r="B114" s="1" t="s">
        <v>77</v>
      </c>
      <c r="C114" s="2">
        <v>19</v>
      </c>
      <c r="D114" s="2">
        <v>225842</v>
      </c>
      <c r="E114" s="2">
        <v>11886.421052631578</v>
      </c>
      <c r="G114"/>
      <c r="H114"/>
      <c r="I114"/>
    </row>
    <row r="115" spans="1:9" x14ac:dyDescent="0.55000000000000004">
      <c r="A115" s="1">
        <v>114</v>
      </c>
      <c r="B115" s="1" t="s">
        <v>96</v>
      </c>
      <c r="C115" s="2">
        <v>19</v>
      </c>
      <c r="D115" s="2">
        <v>222729</v>
      </c>
      <c r="E115" s="2">
        <v>11722.578947368422</v>
      </c>
      <c r="G115"/>
      <c r="H115"/>
      <c r="I115"/>
    </row>
    <row r="116" spans="1:9" x14ac:dyDescent="0.55000000000000004">
      <c r="A116" s="1">
        <v>115</v>
      </c>
      <c r="B116" s="1" t="s">
        <v>132</v>
      </c>
      <c r="C116" s="2">
        <v>17</v>
      </c>
      <c r="D116" s="2">
        <v>198998</v>
      </c>
      <c r="E116" s="2">
        <v>11705.764705882353</v>
      </c>
      <c r="G116"/>
      <c r="H116"/>
      <c r="I116"/>
    </row>
    <row r="117" spans="1:9" x14ac:dyDescent="0.55000000000000004">
      <c r="A117" s="1">
        <v>116</v>
      </c>
      <c r="B117" s="1" t="s">
        <v>78</v>
      </c>
      <c r="C117" s="2">
        <v>19</v>
      </c>
      <c r="D117" s="2">
        <v>214050</v>
      </c>
      <c r="E117" s="2">
        <v>11265.78947368421</v>
      </c>
      <c r="G117"/>
      <c r="H117"/>
      <c r="I117"/>
    </row>
    <row r="118" spans="1:9" x14ac:dyDescent="0.55000000000000004">
      <c r="A118" s="1">
        <v>117</v>
      </c>
      <c r="B118" s="1" t="s">
        <v>97</v>
      </c>
      <c r="C118" s="2">
        <v>19</v>
      </c>
      <c r="D118" s="2">
        <v>210242</v>
      </c>
      <c r="E118" s="2">
        <v>11065.368421052632</v>
      </c>
      <c r="G118"/>
      <c r="H118"/>
      <c r="I118"/>
    </row>
    <row r="119" spans="1:9" x14ac:dyDescent="0.55000000000000004">
      <c r="A119" s="1">
        <v>118</v>
      </c>
      <c r="B119" s="1" t="s">
        <v>113</v>
      </c>
      <c r="C119" s="2">
        <v>11</v>
      </c>
      <c r="D119" s="2">
        <v>120430</v>
      </c>
      <c r="E119" s="2">
        <v>10948</v>
      </c>
      <c r="G119"/>
      <c r="H119"/>
      <c r="I119"/>
    </row>
    <row r="120" spans="1:9" x14ac:dyDescent="0.55000000000000004">
      <c r="A120" s="1">
        <v>119</v>
      </c>
      <c r="B120" s="1" t="s">
        <v>24</v>
      </c>
      <c r="C120" s="2">
        <v>19</v>
      </c>
      <c r="D120" s="2">
        <v>202154</v>
      </c>
      <c r="E120" s="2">
        <v>10639.684210526315</v>
      </c>
      <c r="G120"/>
      <c r="H120"/>
      <c r="I120"/>
    </row>
    <row r="121" spans="1:9" x14ac:dyDescent="0.55000000000000004">
      <c r="A121" s="1">
        <v>120</v>
      </c>
      <c r="B121" s="1" t="s">
        <v>79</v>
      </c>
      <c r="C121" s="2">
        <v>19</v>
      </c>
      <c r="D121" s="2">
        <v>201038</v>
      </c>
      <c r="E121" s="2">
        <v>10580.947368421053</v>
      </c>
      <c r="G121"/>
      <c r="H121"/>
      <c r="I121"/>
    </row>
    <row r="122" spans="1:9" x14ac:dyDescent="0.55000000000000004">
      <c r="A122" s="1">
        <v>121</v>
      </c>
      <c r="B122" s="1" t="s">
        <v>56</v>
      </c>
      <c r="C122" s="2">
        <v>19</v>
      </c>
      <c r="D122" s="2">
        <v>194400</v>
      </c>
      <c r="E122" s="2">
        <v>10231.578947368422</v>
      </c>
      <c r="G122"/>
      <c r="H122"/>
      <c r="I122"/>
    </row>
    <row r="123" spans="1:9" x14ac:dyDescent="0.55000000000000004">
      <c r="A123" s="1">
        <v>122</v>
      </c>
      <c r="B123" s="1" t="s">
        <v>57</v>
      </c>
      <c r="C123" s="2">
        <v>19</v>
      </c>
      <c r="D123" s="2">
        <v>193926</v>
      </c>
      <c r="E123" s="2">
        <v>10206.631578947368</v>
      </c>
      <c r="G123"/>
      <c r="H123"/>
      <c r="I123"/>
    </row>
    <row r="124" spans="1:9" x14ac:dyDescent="0.55000000000000004">
      <c r="A124" s="1">
        <v>123</v>
      </c>
      <c r="B124" s="1" t="s">
        <v>98</v>
      </c>
      <c r="C124" s="2">
        <v>19</v>
      </c>
      <c r="D124" s="2">
        <v>180891</v>
      </c>
      <c r="E124" s="2">
        <v>9520.5789473684217</v>
      </c>
      <c r="G124"/>
      <c r="H124"/>
      <c r="I124"/>
    </row>
    <row r="125" spans="1:9" x14ac:dyDescent="0.55000000000000004">
      <c r="A125" s="1">
        <v>124</v>
      </c>
      <c r="B125" s="1" t="s">
        <v>99</v>
      </c>
      <c r="C125" s="2">
        <v>19</v>
      </c>
      <c r="D125" s="2">
        <v>175618</v>
      </c>
      <c r="E125" s="2">
        <v>9243.0526315789466</v>
      </c>
      <c r="G125"/>
      <c r="H125"/>
      <c r="I125"/>
    </row>
    <row r="126" spans="1:9" x14ac:dyDescent="0.55000000000000004">
      <c r="A126" s="1">
        <v>125</v>
      </c>
      <c r="B126" s="1" t="s">
        <v>58</v>
      </c>
      <c r="C126" s="2">
        <v>18</v>
      </c>
      <c r="D126" s="2">
        <v>165959</v>
      </c>
      <c r="E126" s="2">
        <v>9219.9444444444453</v>
      </c>
      <c r="G126"/>
      <c r="H126"/>
      <c r="I126"/>
    </row>
    <row r="127" spans="1:9" x14ac:dyDescent="0.55000000000000004">
      <c r="A127" s="1">
        <v>126</v>
      </c>
      <c r="B127" s="1" t="s">
        <v>133</v>
      </c>
      <c r="C127" s="2">
        <v>17</v>
      </c>
      <c r="D127" s="2">
        <v>119316</v>
      </c>
      <c r="E127" s="2">
        <v>7018.588235294118</v>
      </c>
      <c r="G127"/>
      <c r="H127"/>
      <c r="I127"/>
    </row>
    <row r="128" spans="1:9" x14ac:dyDescent="0.55000000000000004">
      <c r="A128" s="1">
        <v>127</v>
      </c>
      <c r="B128" s="1" t="s">
        <v>134</v>
      </c>
      <c r="C128" s="2">
        <v>17</v>
      </c>
      <c r="D128" s="2">
        <v>95585</v>
      </c>
      <c r="E128" s="2">
        <v>5622.6470588235297</v>
      </c>
      <c r="G128"/>
      <c r="H128"/>
      <c r="I128"/>
    </row>
    <row r="129" spans="1:9" x14ac:dyDescent="0.55000000000000004">
      <c r="A129" s="1">
        <v>128</v>
      </c>
      <c r="B129" s="1" t="s">
        <v>59</v>
      </c>
      <c r="C129" s="2">
        <v>19</v>
      </c>
      <c r="D129" s="2">
        <v>101160</v>
      </c>
      <c r="E129" s="2">
        <v>5324.2105263157891</v>
      </c>
      <c r="G129"/>
      <c r="H129"/>
      <c r="I129"/>
    </row>
    <row r="130" spans="1:9" x14ac:dyDescent="0.55000000000000004">
      <c r="A130" s="1">
        <v>129</v>
      </c>
      <c r="B130" s="1" t="s">
        <v>135</v>
      </c>
      <c r="C130" s="2">
        <v>17</v>
      </c>
      <c r="D130" s="2">
        <v>69890</v>
      </c>
      <c r="E130" s="2">
        <v>4111.1764705882351</v>
      </c>
      <c r="G130"/>
      <c r="H130"/>
      <c r="I130"/>
    </row>
    <row r="131" spans="1:9" x14ac:dyDescent="0.55000000000000004">
      <c r="A131" s="1">
        <v>130</v>
      </c>
      <c r="B131" s="1" t="s">
        <v>136</v>
      </c>
      <c r="C131" s="2">
        <v>17</v>
      </c>
      <c r="D131" s="2">
        <v>66412</v>
      </c>
      <c r="E131" s="2">
        <v>3906.5882352941176</v>
      </c>
      <c r="G131"/>
      <c r="H131"/>
      <c r="I131"/>
    </row>
    <row r="132" spans="1:9" x14ac:dyDescent="0.55000000000000004">
      <c r="A132" s="1">
        <v>131</v>
      </c>
      <c r="B132" s="1" t="s">
        <v>137</v>
      </c>
      <c r="C132" s="2">
        <v>17</v>
      </c>
      <c r="D132" s="2">
        <v>66116</v>
      </c>
      <c r="E132" s="2">
        <v>3889.1764705882351</v>
      </c>
      <c r="G132"/>
      <c r="H132"/>
      <c r="I132"/>
    </row>
    <row r="133" spans="1:9" x14ac:dyDescent="0.55000000000000004">
      <c r="A133" s="1">
        <v>132</v>
      </c>
      <c r="B133" s="1" t="s">
        <v>138</v>
      </c>
      <c r="C133" s="2">
        <v>17</v>
      </c>
      <c r="D133" s="2">
        <v>61658</v>
      </c>
      <c r="E133" s="2">
        <v>3626.9411764705883</v>
      </c>
      <c r="G133"/>
      <c r="H133"/>
      <c r="I133"/>
    </row>
    <row r="134" spans="1:9" x14ac:dyDescent="0.55000000000000004">
      <c r="A134" s="1">
        <v>133</v>
      </c>
      <c r="B134" s="1" t="s">
        <v>139</v>
      </c>
      <c r="C134" s="2">
        <v>17</v>
      </c>
      <c r="D134" s="2">
        <v>59612</v>
      </c>
      <c r="E134" s="2">
        <v>3506.5882352941176</v>
      </c>
      <c r="G134"/>
      <c r="H134"/>
      <c r="I134"/>
    </row>
    <row r="135" spans="1:9" x14ac:dyDescent="0.55000000000000004">
      <c r="A135" s="1">
        <v>134</v>
      </c>
      <c r="B135" s="1" t="s">
        <v>140</v>
      </c>
      <c r="C135" s="2">
        <v>17</v>
      </c>
      <c r="D135" s="2">
        <v>56851</v>
      </c>
      <c r="E135" s="2">
        <v>3344.1764705882351</v>
      </c>
      <c r="G135"/>
      <c r="H135"/>
      <c r="I135"/>
    </row>
    <row r="136" spans="1:9" x14ac:dyDescent="0.55000000000000004">
      <c r="A136" s="1">
        <v>135</v>
      </c>
      <c r="B136" s="1" t="s">
        <v>141</v>
      </c>
      <c r="C136" s="2">
        <v>17</v>
      </c>
      <c r="D136" s="2">
        <v>53693</v>
      </c>
      <c r="E136" s="2">
        <v>3158.4117647058824</v>
      </c>
      <c r="G136"/>
      <c r="H136"/>
      <c r="I136"/>
    </row>
    <row r="137" spans="1:9" x14ac:dyDescent="0.55000000000000004">
      <c r="A137" s="1">
        <v>136</v>
      </c>
      <c r="B137" s="1" t="s">
        <v>142</v>
      </c>
      <c r="C137" s="2">
        <v>17</v>
      </c>
      <c r="D137" s="2">
        <v>44803</v>
      </c>
      <c r="E137" s="2">
        <v>2635.4705882352941</v>
      </c>
      <c r="G137"/>
      <c r="H137"/>
      <c r="I137"/>
    </row>
    <row r="138" spans="1:9" x14ac:dyDescent="0.55000000000000004">
      <c r="A138" s="1">
        <v>137</v>
      </c>
      <c r="B138" s="1" t="s">
        <v>143</v>
      </c>
      <c r="C138" s="2">
        <v>17</v>
      </c>
      <c r="D138" s="2">
        <v>40444</v>
      </c>
      <c r="E138" s="2">
        <v>2379.0588235294117</v>
      </c>
      <c r="G138"/>
      <c r="H138"/>
      <c r="I138"/>
    </row>
    <row r="139" spans="1:9" x14ac:dyDescent="0.55000000000000004">
      <c r="A139" s="1">
        <v>138</v>
      </c>
      <c r="B139" s="1" t="s">
        <v>144</v>
      </c>
      <c r="C139" s="2">
        <v>17</v>
      </c>
      <c r="D139" s="2">
        <v>38673</v>
      </c>
      <c r="E139" s="2">
        <v>2274.8823529411766</v>
      </c>
      <c r="G139"/>
      <c r="H139"/>
      <c r="I139"/>
    </row>
    <row r="140" spans="1:9" x14ac:dyDescent="0.55000000000000004">
      <c r="A140" s="1">
        <v>139</v>
      </c>
      <c r="B140" s="1" t="s">
        <v>145</v>
      </c>
      <c r="C140" s="2">
        <v>17</v>
      </c>
      <c r="D140" s="2">
        <v>38494</v>
      </c>
      <c r="E140" s="2">
        <v>2264.3529411764707</v>
      </c>
      <c r="G140"/>
      <c r="H140"/>
      <c r="I140"/>
    </row>
  </sheetData>
  <mergeCells count="1">
    <mergeCell ref="J14:K15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B39D6-0384-4B03-80BD-B8A7238D1FC7}">
  <sheetPr codeName="Sheet1"/>
  <dimension ref="A1:E24"/>
  <sheetViews>
    <sheetView workbookViewId="0">
      <selection activeCell="D6" sqref="D6"/>
    </sheetView>
  </sheetViews>
  <sheetFormatPr defaultRowHeight="14.4" x14ac:dyDescent="0.55000000000000004"/>
  <cols>
    <col min="1" max="1" width="6.9453125" bestFit="1" customWidth="1"/>
    <col min="2" max="2" width="17.9453125" bestFit="1" customWidth="1"/>
    <col min="3" max="3" width="9.83984375" style="2" bestFit="1" customWidth="1"/>
    <col min="4" max="4" width="7.15625" style="2" bestFit="1" customWidth="1"/>
    <col min="5" max="5" width="9.578125" style="2" bestFit="1" customWidth="1"/>
    <col min="6" max="6" width="9.578125" bestFit="1" customWidth="1"/>
    <col min="7" max="7" width="6.26171875" bestFit="1" customWidth="1"/>
    <col min="8" max="8" width="10.05078125" bestFit="1" customWidth="1"/>
  </cols>
  <sheetData>
    <row r="1" spans="1:5" x14ac:dyDescent="0.55000000000000004">
      <c r="A1" s="1" t="s">
        <v>3</v>
      </c>
      <c r="B1" s="1" t="s">
        <v>0</v>
      </c>
      <c r="C1" s="2" t="s">
        <v>4</v>
      </c>
      <c r="D1" s="2" t="s">
        <v>2</v>
      </c>
      <c r="E1" s="2" t="s">
        <v>1</v>
      </c>
    </row>
    <row r="2" spans="1:5" x14ac:dyDescent="0.55000000000000004">
      <c r="A2" s="1">
        <v>1</v>
      </c>
      <c r="B2" s="3" t="s">
        <v>100</v>
      </c>
      <c r="C2" s="6">
        <v>11</v>
      </c>
      <c r="D2" s="6">
        <v>576501</v>
      </c>
      <c r="E2" s="2">
        <v>52409</v>
      </c>
    </row>
    <row r="3" spans="1:5" x14ac:dyDescent="0.55000000000000004">
      <c r="A3" s="1">
        <v>2</v>
      </c>
      <c r="B3" s="3" t="s">
        <v>101</v>
      </c>
      <c r="C3" s="6">
        <v>8</v>
      </c>
      <c r="D3" s="6">
        <v>324538</v>
      </c>
      <c r="E3" s="2">
        <v>40567</v>
      </c>
    </row>
    <row r="4" spans="1:5" x14ac:dyDescent="0.55000000000000004">
      <c r="A4" s="1">
        <v>3</v>
      </c>
      <c r="B4" s="3" t="s">
        <v>102</v>
      </c>
      <c r="C4" s="6">
        <v>9</v>
      </c>
      <c r="D4" s="6">
        <v>236719</v>
      </c>
      <c r="E4" s="2">
        <v>26302</v>
      </c>
    </row>
    <row r="5" spans="1:5" x14ac:dyDescent="0.55000000000000004">
      <c r="A5" s="1">
        <v>4</v>
      </c>
      <c r="B5" s="3" t="s">
        <v>119</v>
      </c>
      <c r="C5" s="6">
        <v>10</v>
      </c>
      <c r="D5" s="6">
        <v>244182</v>
      </c>
      <c r="E5" s="2">
        <v>24418</v>
      </c>
    </row>
    <row r="6" spans="1:5" x14ac:dyDescent="0.55000000000000004">
      <c r="A6" s="1">
        <v>5</v>
      </c>
      <c r="B6" s="3" t="s">
        <v>120</v>
      </c>
      <c r="C6" s="6">
        <v>10</v>
      </c>
      <c r="D6" s="6">
        <v>240382</v>
      </c>
      <c r="E6" s="2">
        <v>24038</v>
      </c>
    </row>
    <row r="7" spans="1:5" x14ac:dyDescent="0.55000000000000004">
      <c r="A7" s="1">
        <v>6</v>
      </c>
      <c r="B7" s="3" t="s">
        <v>121</v>
      </c>
      <c r="C7" s="6">
        <v>11</v>
      </c>
      <c r="D7" s="6">
        <v>248496</v>
      </c>
      <c r="E7" s="2">
        <v>22591</v>
      </c>
    </row>
    <row r="8" spans="1:5" x14ac:dyDescent="0.55000000000000004">
      <c r="A8" s="1">
        <v>7</v>
      </c>
      <c r="B8" s="3" t="s">
        <v>122</v>
      </c>
      <c r="C8" s="6">
        <v>9</v>
      </c>
      <c r="D8" s="6">
        <v>198000</v>
      </c>
      <c r="E8" s="2">
        <v>22000</v>
      </c>
    </row>
    <row r="9" spans="1:5" x14ac:dyDescent="0.55000000000000004">
      <c r="A9" s="1">
        <v>8</v>
      </c>
      <c r="B9" s="3" t="s">
        <v>103</v>
      </c>
      <c r="C9" s="6">
        <v>8</v>
      </c>
      <c r="D9" s="6">
        <v>173943</v>
      </c>
      <c r="E9" s="2">
        <v>21743</v>
      </c>
    </row>
    <row r="10" spans="1:5" x14ac:dyDescent="0.55000000000000004">
      <c r="A10" s="1">
        <v>9</v>
      </c>
      <c r="B10" s="3" t="s">
        <v>104</v>
      </c>
      <c r="C10" s="6">
        <v>10</v>
      </c>
      <c r="D10" s="6">
        <v>214928</v>
      </c>
      <c r="E10" s="2">
        <v>21493</v>
      </c>
    </row>
    <row r="11" spans="1:5" x14ac:dyDescent="0.55000000000000004">
      <c r="A11" s="1">
        <v>10</v>
      </c>
      <c r="B11" s="3" t="s">
        <v>123</v>
      </c>
      <c r="C11" s="6">
        <v>10</v>
      </c>
      <c r="D11" s="6">
        <v>213151</v>
      </c>
      <c r="E11" s="2">
        <v>21315</v>
      </c>
    </row>
    <row r="12" spans="1:5" x14ac:dyDescent="0.55000000000000004">
      <c r="A12" s="1">
        <v>11</v>
      </c>
      <c r="B12" s="3" t="s">
        <v>105</v>
      </c>
      <c r="C12" s="6">
        <v>7</v>
      </c>
      <c r="D12" s="6">
        <v>148008</v>
      </c>
      <c r="E12" s="2">
        <v>21144</v>
      </c>
    </row>
    <row r="13" spans="1:5" x14ac:dyDescent="0.55000000000000004">
      <c r="A13" s="1">
        <v>12</v>
      </c>
      <c r="B13" s="3" t="s">
        <v>124</v>
      </c>
      <c r="C13" s="6">
        <v>10</v>
      </c>
      <c r="D13" s="6">
        <v>199338</v>
      </c>
      <c r="E13" s="2">
        <v>19934</v>
      </c>
    </row>
    <row r="14" spans="1:5" x14ac:dyDescent="0.55000000000000004">
      <c r="A14" s="1">
        <v>13</v>
      </c>
      <c r="B14" s="3" t="s">
        <v>125</v>
      </c>
      <c r="C14" s="6">
        <v>11</v>
      </c>
      <c r="D14" s="6">
        <v>203346</v>
      </c>
      <c r="E14" s="2">
        <v>18486</v>
      </c>
    </row>
    <row r="15" spans="1:5" x14ac:dyDescent="0.55000000000000004">
      <c r="A15" s="1">
        <v>14</v>
      </c>
      <c r="B15" s="3" t="s">
        <v>126</v>
      </c>
      <c r="C15" s="6">
        <v>9</v>
      </c>
      <c r="D15" s="6">
        <v>163149</v>
      </c>
      <c r="E15" s="2">
        <v>18128</v>
      </c>
    </row>
    <row r="16" spans="1:5" x14ac:dyDescent="0.55000000000000004">
      <c r="A16" s="1">
        <v>15</v>
      </c>
      <c r="B16" s="3" t="s">
        <v>127</v>
      </c>
      <c r="C16" s="6">
        <v>10</v>
      </c>
      <c r="D16" s="6">
        <v>180660</v>
      </c>
      <c r="E16" s="2">
        <v>18066</v>
      </c>
    </row>
    <row r="17" spans="1:5" x14ac:dyDescent="0.55000000000000004">
      <c r="A17" s="1">
        <v>16</v>
      </c>
      <c r="B17" s="3" t="s">
        <v>106</v>
      </c>
      <c r="C17" s="6">
        <v>10</v>
      </c>
      <c r="D17" s="6">
        <v>177643</v>
      </c>
      <c r="E17" s="2">
        <v>17764</v>
      </c>
    </row>
    <row r="18" spans="1:5" x14ac:dyDescent="0.55000000000000004">
      <c r="A18" s="1">
        <v>17</v>
      </c>
      <c r="B18" s="3" t="s">
        <v>107</v>
      </c>
      <c r="C18" s="6">
        <v>9</v>
      </c>
      <c r="D18" s="6">
        <v>157209</v>
      </c>
      <c r="E18" s="2">
        <v>17468</v>
      </c>
    </row>
    <row r="19" spans="1:5" x14ac:dyDescent="0.55000000000000004">
      <c r="A19" s="1">
        <v>18</v>
      </c>
      <c r="B19" s="3" t="s">
        <v>108</v>
      </c>
      <c r="C19" s="6">
        <v>10</v>
      </c>
      <c r="D19" s="6">
        <v>158687</v>
      </c>
      <c r="E19" s="2">
        <v>15869</v>
      </c>
    </row>
    <row r="20" spans="1:5" x14ac:dyDescent="0.55000000000000004">
      <c r="A20" s="1">
        <v>19</v>
      </c>
      <c r="B20" s="3" t="s">
        <v>109</v>
      </c>
      <c r="C20" s="6">
        <v>11</v>
      </c>
      <c r="D20" s="6">
        <v>165442</v>
      </c>
      <c r="E20" s="2">
        <v>15040</v>
      </c>
    </row>
    <row r="21" spans="1:5" x14ac:dyDescent="0.55000000000000004">
      <c r="A21" s="1">
        <v>20</v>
      </c>
      <c r="B21" s="3" t="s">
        <v>110</v>
      </c>
      <c r="C21" s="6">
        <v>11</v>
      </c>
      <c r="D21" s="6">
        <v>162838</v>
      </c>
      <c r="E21" s="2">
        <v>14803</v>
      </c>
    </row>
    <row r="22" spans="1:5" x14ac:dyDescent="0.55000000000000004">
      <c r="A22" s="1">
        <v>21</v>
      </c>
      <c r="B22" s="3" t="s">
        <v>111</v>
      </c>
      <c r="C22" s="6">
        <v>11</v>
      </c>
      <c r="D22" s="6">
        <v>155699</v>
      </c>
      <c r="E22" s="2">
        <v>14154</v>
      </c>
    </row>
    <row r="23" spans="1:5" x14ac:dyDescent="0.55000000000000004">
      <c r="A23" s="1">
        <v>22</v>
      </c>
      <c r="B23" s="3" t="s">
        <v>112</v>
      </c>
      <c r="C23" s="6">
        <v>3</v>
      </c>
      <c r="D23" s="6">
        <v>38028</v>
      </c>
      <c r="E23" s="2">
        <v>12676</v>
      </c>
    </row>
    <row r="24" spans="1:5" x14ac:dyDescent="0.55000000000000004">
      <c r="A24" s="1">
        <v>23</v>
      </c>
      <c r="B24" s="3" t="s">
        <v>113</v>
      </c>
      <c r="C24" s="6">
        <v>11</v>
      </c>
      <c r="D24" s="6">
        <v>120430</v>
      </c>
      <c r="E24" s="2">
        <v>10948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C1EF2-2457-431A-BE61-14F743ACFC81}">
  <sheetPr codeName="Sheet2"/>
  <dimension ref="A1:E21"/>
  <sheetViews>
    <sheetView workbookViewId="0">
      <selection activeCell="F14" sqref="F14"/>
    </sheetView>
  </sheetViews>
  <sheetFormatPr defaultRowHeight="14.4" x14ac:dyDescent="0.55000000000000004"/>
  <cols>
    <col min="1" max="1" width="6.9453125" bestFit="1" customWidth="1"/>
    <col min="2" max="2" width="19.20703125" bestFit="1" customWidth="1"/>
    <col min="3" max="3" width="8.578125" style="2" customWidth="1"/>
    <col min="4" max="4" width="12.578125" style="2" customWidth="1"/>
    <col min="5" max="5" width="12.578125" customWidth="1"/>
  </cols>
  <sheetData>
    <row r="1" spans="1:5" x14ac:dyDescent="0.55000000000000004">
      <c r="A1" t="s">
        <v>3</v>
      </c>
      <c r="B1" s="1" t="s">
        <v>0</v>
      </c>
      <c r="C1" s="1" t="s">
        <v>4</v>
      </c>
      <c r="D1" s="2" t="s">
        <v>2</v>
      </c>
      <c r="E1" s="2" t="s">
        <v>1</v>
      </c>
    </row>
    <row r="2" spans="1:5" x14ac:dyDescent="0.55000000000000004">
      <c r="A2">
        <v>1</v>
      </c>
      <c r="B2" s="1" t="s">
        <v>5</v>
      </c>
      <c r="C2" s="1">
        <v>19</v>
      </c>
      <c r="D2" s="2">
        <v>1424538</v>
      </c>
      <c r="E2" s="2">
        <f>D2/EPL[[#This Row],[Matches]]</f>
        <v>74975.68421052632</v>
      </c>
    </row>
    <row r="3" spans="1:5" x14ac:dyDescent="0.55000000000000004">
      <c r="A3">
        <v>2</v>
      </c>
      <c r="B3" s="1" t="s">
        <v>6</v>
      </c>
      <c r="C3" s="1">
        <v>19</v>
      </c>
      <c r="D3" s="2">
        <v>1291103</v>
      </c>
      <c r="E3" s="2">
        <f>D3/EPL[[#This Row],[Matches]]</f>
        <v>67952.789473684214</v>
      </c>
    </row>
    <row r="4" spans="1:5" x14ac:dyDescent="0.55000000000000004">
      <c r="A4">
        <v>3</v>
      </c>
      <c r="B4" s="1" t="s">
        <v>7</v>
      </c>
      <c r="C4" s="1">
        <v>19</v>
      </c>
      <c r="D4" s="2">
        <v>1127133</v>
      </c>
      <c r="E4" s="2">
        <f>D4/EPL[[#This Row],[Matches]]</f>
        <v>59322.789473684214</v>
      </c>
    </row>
    <row r="5" spans="1:5" x14ac:dyDescent="0.55000000000000004">
      <c r="A5">
        <v>4</v>
      </c>
      <c r="B5" s="1" t="s">
        <v>8</v>
      </c>
      <c r="C5" s="1">
        <v>19</v>
      </c>
      <c r="D5" s="2">
        <v>1080808</v>
      </c>
      <c r="E5" s="2">
        <f>D5/EPL[[#This Row],[Matches]]</f>
        <v>56884.631578947367</v>
      </c>
    </row>
    <row r="6" spans="1:5" x14ac:dyDescent="0.55000000000000004">
      <c r="A6">
        <v>5</v>
      </c>
      <c r="B6" s="1" t="s">
        <v>9</v>
      </c>
      <c r="C6" s="1">
        <v>19</v>
      </c>
      <c r="D6" s="2">
        <v>1022434</v>
      </c>
      <c r="E6" s="2">
        <f>D6/EPL[[#This Row],[Matches]]</f>
        <v>53812.315789473687</v>
      </c>
    </row>
    <row r="7" spans="1:5" x14ac:dyDescent="0.55000000000000004">
      <c r="A7">
        <v>6</v>
      </c>
      <c r="B7" s="1" t="s">
        <v>10</v>
      </c>
      <c r="C7" s="1">
        <v>19</v>
      </c>
      <c r="D7" s="2">
        <v>1007931</v>
      </c>
      <c r="E7" s="2">
        <f>D7/EPL[[#This Row],[Matches]]</f>
        <v>53049</v>
      </c>
    </row>
    <row r="8" spans="1:5" x14ac:dyDescent="0.55000000000000004">
      <c r="A8">
        <v>7</v>
      </c>
      <c r="B8" s="1" t="s">
        <v>11</v>
      </c>
      <c r="C8" s="1">
        <v>19</v>
      </c>
      <c r="D8" s="2">
        <v>987844</v>
      </c>
      <c r="E8" s="2">
        <f>D8/EPL[[#This Row],[Matches]]</f>
        <v>51991.789473684214</v>
      </c>
    </row>
    <row r="9" spans="1:5" x14ac:dyDescent="0.55000000000000004">
      <c r="A9">
        <v>8</v>
      </c>
      <c r="B9" s="1" t="s">
        <v>12</v>
      </c>
      <c r="C9" s="1">
        <v>19</v>
      </c>
      <c r="D9" s="2">
        <v>784353</v>
      </c>
      <c r="E9" s="2">
        <f>D9/EPL[[#This Row],[Matches]]</f>
        <v>41281.73684210526</v>
      </c>
    </row>
    <row r="10" spans="1:5" x14ac:dyDescent="0.55000000000000004">
      <c r="A10">
        <v>9</v>
      </c>
      <c r="B10" s="1" t="s">
        <v>13</v>
      </c>
      <c r="C10" s="1">
        <v>19</v>
      </c>
      <c r="D10" s="2">
        <v>737143</v>
      </c>
      <c r="E10" s="2">
        <f>D10/EPL[[#This Row],[Matches]]</f>
        <v>38797</v>
      </c>
    </row>
    <row r="11" spans="1:5" x14ac:dyDescent="0.55000000000000004">
      <c r="A11">
        <v>10</v>
      </c>
      <c r="B11" s="1" t="s">
        <v>14</v>
      </c>
      <c r="C11" s="1">
        <v>19</v>
      </c>
      <c r="D11" s="2">
        <v>600083</v>
      </c>
      <c r="E11" s="2">
        <f>D11/EPL[[#This Row],[Matches]]</f>
        <v>31583.315789473683</v>
      </c>
    </row>
    <row r="12" spans="1:5" x14ac:dyDescent="0.55000000000000004">
      <c r="A12">
        <v>11</v>
      </c>
      <c r="B12" s="1" t="s">
        <v>15</v>
      </c>
      <c r="C12" s="1">
        <v>19</v>
      </c>
      <c r="D12" s="2">
        <v>585084</v>
      </c>
      <c r="E12" s="2">
        <f>D12/EPL[[#This Row],[Matches]]</f>
        <v>30793.894736842107</v>
      </c>
    </row>
    <row r="13" spans="1:5" x14ac:dyDescent="0.55000000000000004">
      <c r="A13">
        <v>12</v>
      </c>
      <c r="B13" s="1" t="s">
        <v>16</v>
      </c>
      <c r="C13" s="1">
        <v>19</v>
      </c>
      <c r="D13" s="2">
        <v>577701</v>
      </c>
      <c r="E13" s="2">
        <f>D13/EPL[[#This Row],[Matches]]</f>
        <v>30405.315789473683</v>
      </c>
    </row>
    <row r="14" spans="1:5" x14ac:dyDescent="0.55000000000000004">
      <c r="A14">
        <v>13</v>
      </c>
      <c r="B14" s="1" t="s">
        <v>17</v>
      </c>
      <c r="C14" s="1">
        <v>19</v>
      </c>
      <c r="D14" s="2">
        <v>556317</v>
      </c>
      <c r="E14" s="2">
        <f>D14/EPL[[#This Row],[Matches]]</f>
        <v>29279.842105263157</v>
      </c>
    </row>
    <row r="15" spans="1:5" x14ac:dyDescent="0.55000000000000004">
      <c r="A15">
        <v>14</v>
      </c>
      <c r="B15" s="1" t="s">
        <v>18</v>
      </c>
      <c r="C15" s="1">
        <v>19</v>
      </c>
      <c r="D15" s="2">
        <v>476189</v>
      </c>
      <c r="E15" s="2">
        <f>D15/EPL[[#This Row],[Matches]]</f>
        <v>25062.57894736842</v>
      </c>
    </row>
    <row r="16" spans="1:5" x14ac:dyDescent="0.55000000000000004">
      <c r="A16">
        <v>15</v>
      </c>
      <c r="B16" s="1" t="s">
        <v>19</v>
      </c>
      <c r="C16" s="1">
        <v>19</v>
      </c>
      <c r="D16" s="2">
        <v>465878</v>
      </c>
      <c r="E16" s="2">
        <f>D16/EPL[[#This Row],[Matches]]</f>
        <v>24519.894736842107</v>
      </c>
    </row>
    <row r="17" spans="1:5" x14ac:dyDescent="0.55000000000000004">
      <c r="A17">
        <v>16</v>
      </c>
      <c r="B17" s="1" t="s">
        <v>20</v>
      </c>
      <c r="C17" s="1">
        <v>19</v>
      </c>
      <c r="D17" s="2">
        <v>456757</v>
      </c>
      <c r="E17" s="2">
        <f>D17/EPL[[#This Row],[Matches]]</f>
        <v>24039.842105263157</v>
      </c>
    </row>
    <row r="18" spans="1:5" x14ac:dyDescent="0.55000000000000004">
      <c r="A18">
        <v>17</v>
      </c>
      <c r="B18" s="1" t="s">
        <v>21</v>
      </c>
      <c r="C18" s="1">
        <v>19</v>
      </c>
      <c r="D18" s="2">
        <v>393080</v>
      </c>
      <c r="E18" s="2">
        <f>D18/EPL[[#This Row],[Matches]]</f>
        <v>20688.42105263158</v>
      </c>
    </row>
    <row r="19" spans="1:5" x14ac:dyDescent="0.55000000000000004">
      <c r="A19">
        <v>18</v>
      </c>
      <c r="B19" s="1" t="s">
        <v>22</v>
      </c>
      <c r="C19" s="1">
        <v>19</v>
      </c>
      <c r="D19" s="2">
        <v>391830</v>
      </c>
      <c r="E19" s="2">
        <f>D19/EPL[[#This Row],[Matches]]</f>
        <v>20622.63157894737</v>
      </c>
    </row>
    <row r="20" spans="1:5" x14ac:dyDescent="0.55000000000000004">
      <c r="A20">
        <v>19</v>
      </c>
      <c r="B20" s="1" t="s">
        <v>23</v>
      </c>
      <c r="C20" s="1">
        <v>19</v>
      </c>
      <c r="D20" s="2">
        <v>384388</v>
      </c>
      <c r="E20" s="2">
        <f>D20/EPL[[#This Row],[Matches]]</f>
        <v>20230.947368421053</v>
      </c>
    </row>
    <row r="21" spans="1:5" x14ac:dyDescent="0.55000000000000004">
      <c r="A21">
        <v>20</v>
      </c>
      <c r="B21" s="1" t="s">
        <v>24</v>
      </c>
      <c r="C21" s="1">
        <v>19</v>
      </c>
      <c r="D21" s="2">
        <v>202154</v>
      </c>
      <c r="E21" s="2">
        <f>D21/EPL[[#This Row],[Matches]]</f>
        <v>10639.684210526315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729C-8308-44F2-9B7B-839030B77E0F}">
  <sheetPr codeName="Sheet4"/>
  <dimension ref="A1:E19"/>
  <sheetViews>
    <sheetView workbookViewId="0">
      <selection sqref="A1:E19"/>
    </sheetView>
  </sheetViews>
  <sheetFormatPr defaultRowHeight="14.4" x14ac:dyDescent="0.55000000000000004"/>
  <cols>
    <col min="1" max="1" width="6.9453125" bestFit="1" customWidth="1"/>
    <col min="2" max="2" width="19.05078125" bestFit="1" customWidth="1"/>
    <col min="3" max="3" width="8.578125" style="2" customWidth="1"/>
    <col min="4" max="4" width="12.578125" style="2" customWidth="1"/>
    <col min="5" max="5" width="12.578125" customWidth="1"/>
  </cols>
  <sheetData>
    <row r="1" spans="1:5" x14ac:dyDescent="0.55000000000000004">
      <c r="A1" t="s">
        <v>3</v>
      </c>
      <c r="B1" s="1" t="s">
        <v>0</v>
      </c>
      <c r="C1" s="1" t="s">
        <v>4</v>
      </c>
      <c r="D1" s="1" t="s">
        <v>2</v>
      </c>
      <c r="E1" s="2" t="s">
        <v>1</v>
      </c>
    </row>
    <row r="2" spans="1:5" x14ac:dyDescent="0.55000000000000004">
      <c r="A2">
        <v>1</v>
      </c>
      <c r="B2" s="1" t="s">
        <v>25</v>
      </c>
      <c r="C2" s="1">
        <v>17</v>
      </c>
      <c r="D2" s="2">
        <v>1351439</v>
      </c>
      <c r="E2" s="2">
        <f>D2/Bundesliga[[#This Row],[Matches]]</f>
        <v>79496.411764705888</v>
      </c>
    </row>
    <row r="3" spans="1:5" x14ac:dyDescent="0.55000000000000004">
      <c r="A3">
        <v>2</v>
      </c>
      <c r="B3" s="1" t="s">
        <v>26</v>
      </c>
      <c r="C3" s="1">
        <v>17</v>
      </c>
      <c r="D3" s="2">
        <v>1275000</v>
      </c>
      <c r="E3" s="2">
        <f>D3/Bundesliga[[#This Row],[Matches]]</f>
        <v>75000</v>
      </c>
    </row>
    <row r="4" spans="1:5" x14ac:dyDescent="0.55000000000000004">
      <c r="A4">
        <v>3</v>
      </c>
      <c r="B4" s="1" t="s">
        <v>27</v>
      </c>
      <c r="C4" s="1">
        <v>17</v>
      </c>
      <c r="D4" s="2">
        <v>1042041</v>
      </c>
      <c r="E4" s="2">
        <f>D4/Bundesliga[[#This Row],[Matches]]</f>
        <v>61296.529411764706</v>
      </c>
    </row>
    <row r="5" spans="1:5" x14ac:dyDescent="0.55000000000000004">
      <c r="A5">
        <v>4</v>
      </c>
      <c r="B5" s="1" t="s">
        <v>28</v>
      </c>
      <c r="C5" s="1">
        <v>17</v>
      </c>
      <c r="D5" s="2">
        <v>956722</v>
      </c>
      <c r="E5" s="2">
        <f>D5/Bundesliga[[#This Row],[Matches]]</f>
        <v>56277.76470588235</v>
      </c>
    </row>
    <row r="6" spans="1:5" x14ac:dyDescent="0.55000000000000004">
      <c r="A6">
        <v>5</v>
      </c>
      <c r="B6" s="1" t="s">
        <v>116</v>
      </c>
      <c r="C6" s="1">
        <v>17</v>
      </c>
      <c r="D6" s="2">
        <v>866755</v>
      </c>
      <c r="E6" s="2">
        <f>D6/Bundesliga[[#This Row],[Matches]]</f>
        <v>50985.588235294119</v>
      </c>
    </row>
    <row r="7" spans="1:5" x14ac:dyDescent="0.55000000000000004">
      <c r="A7">
        <v>6</v>
      </c>
      <c r="B7" s="1" t="s">
        <v>29</v>
      </c>
      <c r="C7" s="1">
        <v>17</v>
      </c>
      <c r="D7" s="2">
        <v>861146</v>
      </c>
      <c r="E7" s="2">
        <f>D7/Bundesliga[[#This Row],[Matches]]</f>
        <v>50655.647058823532</v>
      </c>
    </row>
    <row r="8" spans="1:5" x14ac:dyDescent="0.55000000000000004">
      <c r="A8">
        <v>7</v>
      </c>
      <c r="B8" s="1" t="s">
        <v>30</v>
      </c>
      <c r="C8" s="1">
        <v>17</v>
      </c>
      <c r="D8" s="2">
        <v>835700</v>
      </c>
      <c r="E8" s="2">
        <f>D8/Bundesliga[[#This Row],[Matches]]</f>
        <v>49158.823529411762</v>
      </c>
    </row>
    <row r="9" spans="1:5" x14ac:dyDescent="0.55000000000000004">
      <c r="A9">
        <v>8</v>
      </c>
      <c r="B9" s="1" t="s">
        <v>117</v>
      </c>
      <c r="C9" s="1">
        <v>17</v>
      </c>
      <c r="D9" s="2">
        <v>829200</v>
      </c>
      <c r="E9" s="2">
        <f>D9/Bundesliga[[#This Row],[Matches]]</f>
        <v>48776.470588235294</v>
      </c>
    </row>
    <row r="10" spans="1:5" x14ac:dyDescent="0.55000000000000004">
      <c r="A10">
        <v>9</v>
      </c>
      <c r="B10" s="1" t="s">
        <v>31</v>
      </c>
      <c r="C10" s="1">
        <v>17</v>
      </c>
      <c r="D10" s="2">
        <v>770422</v>
      </c>
      <c r="E10" s="2">
        <f>D10/Bundesliga[[#This Row],[Matches]]</f>
        <v>45318.941176470587</v>
      </c>
    </row>
    <row r="11" spans="1:5" x14ac:dyDescent="0.55000000000000004">
      <c r="A11">
        <v>10</v>
      </c>
      <c r="B11" s="1" t="s">
        <v>32</v>
      </c>
      <c r="C11" s="1">
        <v>17</v>
      </c>
      <c r="D11" s="2">
        <v>726000</v>
      </c>
      <c r="E11" s="2">
        <f>D11/Bundesliga[[#This Row],[Matches]]</f>
        <v>42705.882352941175</v>
      </c>
    </row>
    <row r="12" spans="1:5" x14ac:dyDescent="0.55000000000000004">
      <c r="A12">
        <v>11</v>
      </c>
      <c r="B12" s="1" t="s">
        <v>33</v>
      </c>
      <c r="C12" s="1">
        <v>17</v>
      </c>
      <c r="D12" s="2">
        <v>693992</v>
      </c>
      <c r="E12" s="2">
        <f>D12/Bundesliga[[#This Row],[Matches]]</f>
        <v>40823.058823529413</v>
      </c>
    </row>
    <row r="13" spans="1:5" x14ac:dyDescent="0.55000000000000004">
      <c r="A13">
        <v>12</v>
      </c>
      <c r="B13" s="1" t="s">
        <v>34</v>
      </c>
      <c r="C13" s="1">
        <v>17</v>
      </c>
      <c r="D13" s="2">
        <v>669741</v>
      </c>
      <c r="E13" s="2">
        <f>D13/Bundesliga[[#This Row],[Matches]]</f>
        <v>39396.529411764706</v>
      </c>
    </row>
    <row r="14" spans="1:5" x14ac:dyDescent="0.55000000000000004">
      <c r="A14">
        <v>13</v>
      </c>
      <c r="B14" s="1" t="s">
        <v>118</v>
      </c>
      <c r="C14" s="1">
        <v>17</v>
      </c>
      <c r="D14" s="2">
        <v>489027</v>
      </c>
      <c r="E14" s="2">
        <f>D14/Bundesliga[[#This Row],[Matches]]</f>
        <v>28766.294117647059</v>
      </c>
    </row>
    <row r="15" spans="1:5" x14ac:dyDescent="0.55000000000000004">
      <c r="A15">
        <v>14</v>
      </c>
      <c r="B15" s="1" t="s">
        <v>35</v>
      </c>
      <c r="C15" s="1">
        <v>17</v>
      </c>
      <c r="D15" s="2">
        <v>488180</v>
      </c>
      <c r="E15" s="2">
        <f>D15/Bundesliga[[#This Row],[Matches]]</f>
        <v>28716.470588235294</v>
      </c>
    </row>
    <row r="16" spans="1:5" x14ac:dyDescent="0.55000000000000004">
      <c r="A16">
        <v>15</v>
      </c>
      <c r="B16" s="1" t="s">
        <v>36</v>
      </c>
      <c r="C16" s="1">
        <v>17</v>
      </c>
      <c r="D16" s="2">
        <v>483063</v>
      </c>
      <c r="E16" s="2">
        <f>D16/Bundesliga[[#This Row],[Matches]]</f>
        <v>28415.470588235294</v>
      </c>
    </row>
    <row r="17" spans="1:5" x14ac:dyDescent="0.55000000000000004">
      <c r="A17">
        <v>16</v>
      </c>
      <c r="B17" s="1" t="s">
        <v>37</v>
      </c>
      <c r="C17" s="1">
        <v>17</v>
      </c>
      <c r="D17" s="2">
        <v>480049</v>
      </c>
      <c r="E17" s="2">
        <f>D17/Bundesliga[[#This Row],[Matches]]</f>
        <v>28238.176470588234</v>
      </c>
    </row>
    <row r="18" spans="1:5" x14ac:dyDescent="0.55000000000000004">
      <c r="A18">
        <v>17</v>
      </c>
      <c r="B18" s="1" t="s">
        <v>38</v>
      </c>
      <c r="C18" s="1">
        <v>17</v>
      </c>
      <c r="D18" s="2">
        <v>437119</v>
      </c>
      <c r="E18" s="2">
        <f>D18/Bundesliga[[#This Row],[Matches]]</f>
        <v>25712.882352941175</v>
      </c>
    </row>
    <row r="19" spans="1:5" x14ac:dyDescent="0.55000000000000004">
      <c r="A19">
        <v>18</v>
      </c>
      <c r="B19" s="1" t="s">
        <v>39</v>
      </c>
      <c r="C19" s="1">
        <v>17</v>
      </c>
      <c r="D19" s="2">
        <v>406200</v>
      </c>
      <c r="E19" s="2">
        <f>D19/Bundesliga[[#This Row],[Matches]]</f>
        <v>23894.117647058825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40E2A-70E9-447F-A17E-7E7DFEB5147C}">
  <sheetPr codeName="Sheet5"/>
  <dimension ref="A1:E21"/>
  <sheetViews>
    <sheetView workbookViewId="0">
      <selection sqref="A1:E21"/>
    </sheetView>
  </sheetViews>
  <sheetFormatPr defaultRowHeight="14.4" x14ac:dyDescent="0.55000000000000004"/>
  <cols>
    <col min="1" max="1" width="6.9453125" bestFit="1" customWidth="1"/>
    <col min="2" max="2" width="17.05078125" bestFit="1" customWidth="1"/>
    <col min="3" max="3" width="8.578125" style="2" customWidth="1"/>
    <col min="4" max="5" width="12.578125" style="2" customWidth="1"/>
    <col min="6" max="6" width="9.578125" bestFit="1" customWidth="1"/>
  </cols>
  <sheetData>
    <row r="1" spans="1:5" x14ac:dyDescent="0.55000000000000004">
      <c r="A1" t="s">
        <v>3</v>
      </c>
      <c r="B1" s="1" t="s">
        <v>0</v>
      </c>
      <c r="C1" s="1" t="s">
        <v>4</v>
      </c>
      <c r="D1" s="1" t="s">
        <v>2</v>
      </c>
      <c r="E1" s="2" t="s">
        <v>1</v>
      </c>
    </row>
    <row r="2" spans="1:5" x14ac:dyDescent="0.55000000000000004">
      <c r="A2">
        <v>1</v>
      </c>
      <c r="B2" s="1" t="s">
        <v>40</v>
      </c>
      <c r="C2" s="1">
        <v>19</v>
      </c>
      <c r="D2" s="2">
        <v>1250657</v>
      </c>
      <c r="E2" s="2">
        <f>La_Liga[[#This Row],[Total]]/La_Liga[[#This Row],[Matches]]</f>
        <v>65824.052631578947</v>
      </c>
    </row>
    <row r="3" spans="1:5" x14ac:dyDescent="0.55000000000000004">
      <c r="A3">
        <v>2</v>
      </c>
      <c r="B3" s="1" t="s">
        <v>41</v>
      </c>
      <c r="C3" s="1">
        <v>19</v>
      </c>
      <c r="D3" s="2">
        <v>1247398</v>
      </c>
      <c r="E3" s="2">
        <f>La_Liga[[#This Row],[Total]]/La_Liga[[#This Row],[Matches]]</f>
        <v>65652.526315789481</v>
      </c>
    </row>
    <row r="4" spans="1:5" x14ac:dyDescent="0.55000000000000004">
      <c r="A4">
        <v>3</v>
      </c>
      <c r="B4" s="1" t="s">
        <v>42</v>
      </c>
      <c r="C4" s="1">
        <v>19</v>
      </c>
      <c r="D4" s="2">
        <v>1054093</v>
      </c>
      <c r="E4" s="2">
        <f>La_Liga[[#This Row],[Total]]/La_Liga[[#This Row],[Matches]]</f>
        <v>55478.57894736842</v>
      </c>
    </row>
    <row r="5" spans="1:5" x14ac:dyDescent="0.55000000000000004">
      <c r="A5">
        <v>4</v>
      </c>
      <c r="B5" s="1" t="s">
        <v>43</v>
      </c>
      <c r="C5" s="1">
        <v>19</v>
      </c>
      <c r="D5" s="2">
        <v>881345</v>
      </c>
      <c r="E5" s="2">
        <f>La_Liga[[#This Row],[Total]]/La_Liga[[#This Row],[Matches]]</f>
        <v>46386.57894736842</v>
      </c>
    </row>
    <row r="6" spans="1:5" x14ac:dyDescent="0.55000000000000004">
      <c r="A6">
        <v>5</v>
      </c>
      <c r="B6" s="1" t="s">
        <v>44</v>
      </c>
      <c r="C6" s="1">
        <v>19</v>
      </c>
      <c r="D6" s="2">
        <v>735187</v>
      </c>
      <c r="E6" s="2">
        <f>La_Liga[[#This Row],[Total]]/La_Liga[[#This Row],[Matches]]</f>
        <v>38694.052631578947</v>
      </c>
    </row>
    <row r="7" spans="1:5" x14ac:dyDescent="0.55000000000000004">
      <c r="A7">
        <v>6</v>
      </c>
      <c r="B7" s="1" t="s">
        <v>45</v>
      </c>
      <c r="C7" s="1">
        <v>19</v>
      </c>
      <c r="D7" s="2">
        <v>710041</v>
      </c>
      <c r="E7" s="2">
        <f>La_Liga[[#This Row],[Total]]/La_Liga[[#This Row],[Matches]]</f>
        <v>37370.57894736842</v>
      </c>
    </row>
    <row r="8" spans="1:5" x14ac:dyDescent="0.55000000000000004">
      <c r="A8">
        <v>7</v>
      </c>
      <c r="B8" s="1" t="s">
        <v>46</v>
      </c>
      <c r="C8" s="1">
        <v>19</v>
      </c>
      <c r="D8" s="2">
        <v>628281</v>
      </c>
      <c r="E8" s="2">
        <f>La_Liga[[#This Row],[Total]]/La_Liga[[#This Row],[Matches]]</f>
        <v>33067.42105263158</v>
      </c>
    </row>
    <row r="9" spans="1:5" x14ac:dyDescent="0.55000000000000004">
      <c r="A9">
        <v>8</v>
      </c>
      <c r="B9" s="1" t="s">
        <v>47</v>
      </c>
      <c r="C9" s="1">
        <v>19</v>
      </c>
      <c r="D9" s="2">
        <v>392052</v>
      </c>
      <c r="E9" s="2">
        <f>La_Liga[[#This Row],[Total]]/La_Liga[[#This Row],[Matches]]</f>
        <v>20634.315789473683</v>
      </c>
    </row>
    <row r="10" spans="1:5" x14ac:dyDescent="0.55000000000000004">
      <c r="A10">
        <v>9</v>
      </c>
      <c r="B10" s="1" t="s">
        <v>48</v>
      </c>
      <c r="C10" s="1">
        <v>19</v>
      </c>
      <c r="D10" s="2">
        <v>387302</v>
      </c>
      <c r="E10" s="2">
        <f>La_Liga[[#This Row],[Total]]/La_Liga[[#This Row],[Matches]]</f>
        <v>20384.315789473683</v>
      </c>
    </row>
    <row r="11" spans="1:5" x14ac:dyDescent="0.55000000000000004">
      <c r="A11">
        <v>10</v>
      </c>
      <c r="B11" s="1" t="s">
        <v>49</v>
      </c>
      <c r="C11" s="1">
        <v>19</v>
      </c>
      <c r="D11" s="2">
        <v>374634</v>
      </c>
      <c r="E11" s="2">
        <f>La_Liga[[#This Row],[Total]]/La_Liga[[#This Row],[Matches]]</f>
        <v>19717.57894736842</v>
      </c>
    </row>
    <row r="12" spans="1:5" x14ac:dyDescent="0.55000000000000004">
      <c r="A12">
        <v>11</v>
      </c>
      <c r="B12" s="1" t="s">
        <v>50</v>
      </c>
      <c r="C12" s="1">
        <v>19</v>
      </c>
      <c r="D12" s="2">
        <v>336029</v>
      </c>
      <c r="E12" s="2">
        <f>La_Liga[[#This Row],[Total]]/La_Liga[[#This Row],[Matches]]</f>
        <v>17685.736842105263</v>
      </c>
    </row>
    <row r="13" spans="1:5" x14ac:dyDescent="0.55000000000000004">
      <c r="A13">
        <v>12</v>
      </c>
      <c r="B13" s="1" t="s">
        <v>51</v>
      </c>
      <c r="C13" s="1">
        <v>19</v>
      </c>
      <c r="D13" s="2">
        <v>334957</v>
      </c>
      <c r="E13" s="2">
        <f>La_Liga[[#This Row],[Total]]/La_Liga[[#This Row],[Matches]]</f>
        <v>17629.315789473683</v>
      </c>
    </row>
    <row r="14" spans="1:5" x14ac:dyDescent="0.55000000000000004">
      <c r="A14">
        <v>13</v>
      </c>
      <c r="B14" s="1" t="s">
        <v>52</v>
      </c>
      <c r="C14" s="1">
        <v>19</v>
      </c>
      <c r="D14" s="2">
        <v>316997</v>
      </c>
      <c r="E14" s="2">
        <f>La_Liga[[#This Row],[Total]]/La_Liga[[#This Row],[Matches]]</f>
        <v>16684.052631578947</v>
      </c>
    </row>
    <row r="15" spans="1:5" x14ac:dyDescent="0.55000000000000004">
      <c r="A15">
        <v>14</v>
      </c>
      <c r="B15" s="1" t="s">
        <v>53</v>
      </c>
      <c r="C15" s="1">
        <v>19</v>
      </c>
      <c r="D15" s="2">
        <v>309548</v>
      </c>
      <c r="E15" s="2">
        <f>La_Liga[[#This Row],[Total]]/La_Liga[[#This Row],[Matches]]</f>
        <v>16292</v>
      </c>
    </row>
    <row r="16" spans="1:5" x14ac:dyDescent="0.55000000000000004">
      <c r="A16">
        <v>15</v>
      </c>
      <c r="B16" s="1" t="s">
        <v>54</v>
      </c>
      <c r="C16" s="1">
        <v>19</v>
      </c>
      <c r="D16" s="2">
        <v>306393</v>
      </c>
      <c r="E16" s="2">
        <f>La_Liga[[#This Row],[Total]]/La_Liga[[#This Row],[Matches]]</f>
        <v>16125.947368421053</v>
      </c>
    </row>
    <row r="17" spans="1:5" x14ac:dyDescent="0.55000000000000004">
      <c r="A17">
        <v>16</v>
      </c>
      <c r="B17" s="1" t="s">
        <v>55</v>
      </c>
      <c r="C17" s="1">
        <v>19</v>
      </c>
      <c r="D17" s="2">
        <v>289565</v>
      </c>
      <c r="E17" s="2">
        <f>La_Liga[[#This Row],[Total]]/La_Liga[[#This Row],[Matches]]</f>
        <v>15240.263157894737</v>
      </c>
    </row>
    <row r="18" spans="1:5" x14ac:dyDescent="0.55000000000000004">
      <c r="A18">
        <v>17</v>
      </c>
      <c r="B18" s="1" t="s">
        <v>56</v>
      </c>
      <c r="C18" s="1">
        <v>19</v>
      </c>
      <c r="D18" s="2">
        <v>194400</v>
      </c>
      <c r="E18" s="2">
        <f>La_Liga[[#This Row],[Total]]/La_Liga[[#This Row],[Matches]]</f>
        <v>10231.578947368422</v>
      </c>
    </row>
    <row r="19" spans="1:5" x14ac:dyDescent="0.55000000000000004">
      <c r="A19">
        <v>18</v>
      </c>
      <c r="B19" s="1" t="s">
        <v>57</v>
      </c>
      <c r="C19" s="1">
        <v>19</v>
      </c>
      <c r="D19" s="2">
        <v>193926</v>
      </c>
      <c r="E19" s="2">
        <f>La_Liga[[#This Row],[Total]]/La_Liga[[#This Row],[Matches]]</f>
        <v>10206.631578947368</v>
      </c>
    </row>
    <row r="20" spans="1:5" x14ac:dyDescent="0.55000000000000004">
      <c r="A20">
        <v>19</v>
      </c>
      <c r="B20" s="1" t="s">
        <v>58</v>
      </c>
      <c r="C20" s="1">
        <v>18</v>
      </c>
      <c r="D20" s="2">
        <v>165959</v>
      </c>
      <c r="E20" s="2">
        <f>La_Liga[[#This Row],[Total]]/La_Liga[[#This Row],[Matches]]</f>
        <v>9219.9444444444453</v>
      </c>
    </row>
    <row r="21" spans="1:5" x14ac:dyDescent="0.55000000000000004">
      <c r="A21">
        <v>20</v>
      </c>
      <c r="B21" s="1" t="s">
        <v>59</v>
      </c>
      <c r="C21" s="1">
        <v>19</v>
      </c>
      <c r="D21" s="2">
        <v>101160</v>
      </c>
      <c r="E21" s="2">
        <f>La_Liga[[#This Row],[Total]]/La_Liga[[#This Row],[Matches]]</f>
        <v>5324.2105263157891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8764-DD08-4979-BE1D-865BBA1E3E3C}">
  <sheetPr codeName="Sheet6"/>
  <dimension ref="A1:E21"/>
  <sheetViews>
    <sheetView workbookViewId="0">
      <selection activeCell="G9" sqref="G9"/>
    </sheetView>
  </sheetViews>
  <sheetFormatPr defaultRowHeight="14.4" x14ac:dyDescent="0.55000000000000004"/>
  <cols>
    <col min="1" max="1" width="6.9453125" bestFit="1" customWidth="1"/>
    <col min="2" max="2" width="15.20703125" bestFit="1" customWidth="1"/>
    <col min="3" max="3" width="8.578125" customWidth="1"/>
    <col min="4" max="4" width="12.578125" customWidth="1"/>
    <col min="5" max="5" width="12.578125" style="2" customWidth="1"/>
  </cols>
  <sheetData>
    <row r="1" spans="1:5" x14ac:dyDescent="0.55000000000000004">
      <c r="A1" s="1" t="s">
        <v>3</v>
      </c>
      <c r="B1" s="1" t="s">
        <v>0</v>
      </c>
      <c r="C1" s="1" t="s">
        <v>4</v>
      </c>
      <c r="D1" s="1" t="s">
        <v>2</v>
      </c>
      <c r="E1" s="2" t="s">
        <v>1</v>
      </c>
    </row>
    <row r="2" spans="1:5" x14ac:dyDescent="0.55000000000000004">
      <c r="A2" s="1">
        <v>1</v>
      </c>
      <c r="B2" s="1" t="s">
        <v>60</v>
      </c>
      <c r="C2" s="1">
        <v>19</v>
      </c>
      <c r="D2" s="2">
        <v>1093053</v>
      </c>
      <c r="E2" s="2">
        <f>D2/Serie_A[[#This Row],[Matches]]</f>
        <v>57529.105263157893</v>
      </c>
    </row>
    <row r="3" spans="1:5" x14ac:dyDescent="0.55000000000000004">
      <c r="A3" s="1">
        <v>2</v>
      </c>
      <c r="B3" s="1" t="s">
        <v>61</v>
      </c>
      <c r="C3" s="1">
        <v>19</v>
      </c>
      <c r="D3" s="2">
        <v>1001114</v>
      </c>
      <c r="E3" s="2">
        <f>D3/Serie_A[[#This Row],[Matches]]</f>
        <v>52690.210526315786</v>
      </c>
    </row>
    <row r="4" spans="1:5" x14ac:dyDescent="0.55000000000000004">
      <c r="A4" s="1">
        <v>3</v>
      </c>
      <c r="B4" s="1" t="s">
        <v>62</v>
      </c>
      <c r="C4" s="1">
        <v>19</v>
      </c>
      <c r="D4" s="2">
        <v>817942</v>
      </c>
      <c r="E4" s="2">
        <f>D4/Serie_A[[#This Row],[Matches]]</f>
        <v>43049.57894736842</v>
      </c>
    </row>
    <row r="5" spans="1:5" x14ac:dyDescent="0.55000000000000004">
      <c r="A5" s="1">
        <v>4</v>
      </c>
      <c r="B5" s="1" t="s">
        <v>63</v>
      </c>
      <c r="C5" s="1">
        <v>19</v>
      </c>
      <c r="D5" s="2">
        <v>740011</v>
      </c>
      <c r="E5" s="2">
        <f>D5/Serie_A[[#This Row],[Matches]]</f>
        <v>38947.947368421053</v>
      </c>
    </row>
    <row r="6" spans="1:5" x14ac:dyDescent="0.55000000000000004">
      <c r="A6" s="1">
        <v>5</v>
      </c>
      <c r="B6" s="1" t="s">
        <v>64</v>
      </c>
      <c r="C6" s="1">
        <v>19</v>
      </c>
      <c r="D6" s="2">
        <v>711544</v>
      </c>
      <c r="E6" s="2">
        <f>D6/Serie_A[[#This Row],[Matches]]</f>
        <v>37449.684210526313</v>
      </c>
    </row>
    <row r="7" spans="1:5" x14ac:dyDescent="0.55000000000000004">
      <c r="A7" s="1">
        <v>6</v>
      </c>
      <c r="B7" s="1" t="s">
        <v>65</v>
      </c>
      <c r="C7" s="1">
        <v>19</v>
      </c>
      <c r="D7" s="2">
        <v>626000</v>
      </c>
      <c r="E7" s="2">
        <f>D7/Serie_A[[#This Row],[Matches]]</f>
        <v>32947.368421052633</v>
      </c>
    </row>
    <row r="8" spans="1:5" x14ac:dyDescent="0.55000000000000004">
      <c r="A8" s="1">
        <v>7</v>
      </c>
      <c r="B8" s="1" t="s">
        <v>66</v>
      </c>
      <c r="C8" s="1">
        <v>19</v>
      </c>
      <c r="D8" s="2">
        <v>495756</v>
      </c>
      <c r="E8" s="2">
        <f>D8/Serie_A[[#This Row],[Matches]]</f>
        <v>26092.42105263158</v>
      </c>
    </row>
    <row r="9" spans="1:5" x14ac:dyDescent="0.55000000000000004">
      <c r="A9" s="1">
        <v>8</v>
      </c>
      <c r="B9" s="1" t="s">
        <v>67</v>
      </c>
      <c r="C9" s="1">
        <v>19</v>
      </c>
      <c r="D9" s="2">
        <v>401325</v>
      </c>
      <c r="E9" s="2">
        <f>D9/Serie_A[[#This Row],[Matches]]</f>
        <v>21122.36842105263</v>
      </c>
    </row>
    <row r="10" spans="1:5" x14ac:dyDescent="0.55000000000000004">
      <c r="A10" s="1">
        <v>9</v>
      </c>
      <c r="B10" s="1" t="s">
        <v>68</v>
      </c>
      <c r="C10" s="1">
        <v>19</v>
      </c>
      <c r="D10" s="2">
        <v>395885</v>
      </c>
      <c r="E10" s="2">
        <f>D10/Serie_A[[#This Row],[Matches]]</f>
        <v>20836.052631578947</v>
      </c>
    </row>
    <row r="11" spans="1:5" x14ac:dyDescent="0.55000000000000004">
      <c r="A11" s="1">
        <v>10</v>
      </c>
      <c r="B11" s="1" t="s">
        <v>69</v>
      </c>
      <c r="C11" s="1">
        <v>19</v>
      </c>
      <c r="D11" s="2">
        <v>381242</v>
      </c>
      <c r="E11" s="2">
        <f>D11/Serie_A[[#This Row],[Matches]]</f>
        <v>20065.36842105263</v>
      </c>
    </row>
    <row r="12" spans="1:5" x14ac:dyDescent="0.55000000000000004">
      <c r="A12" s="1">
        <v>11</v>
      </c>
      <c r="B12" s="1" t="s">
        <v>70</v>
      </c>
      <c r="C12" s="1">
        <v>19</v>
      </c>
      <c r="D12" s="2">
        <v>353331</v>
      </c>
      <c r="E12" s="2">
        <f>D12/Serie_A[[#This Row],[Matches]]</f>
        <v>18596.36842105263</v>
      </c>
    </row>
    <row r="13" spans="1:5" x14ac:dyDescent="0.55000000000000004">
      <c r="A13" s="1">
        <v>12</v>
      </c>
      <c r="B13" s="1" t="s">
        <v>71</v>
      </c>
      <c r="C13" s="1">
        <v>19</v>
      </c>
      <c r="D13" s="2">
        <v>345362</v>
      </c>
      <c r="E13" s="2">
        <f>D13/Serie_A[[#This Row],[Matches]]</f>
        <v>18176.947368421053</v>
      </c>
    </row>
    <row r="14" spans="1:5" x14ac:dyDescent="0.55000000000000004">
      <c r="A14" s="1">
        <v>13</v>
      </c>
      <c r="B14" s="1" t="s">
        <v>72</v>
      </c>
      <c r="C14" s="1">
        <v>19</v>
      </c>
      <c r="D14" s="2">
        <v>340492</v>
      </c>
      <c r="E14" s="2">
        <f>D14/Serie_A[[#This Row],[Matches]]</f>
        <v>17920.63157894737</v>
      </c>
    </row>
    <row r="15" spans="1:5" x14ac:dyDescent="0.55000000000000004">
      <c r="A15" s="1">
        <v>14</v>
      </c>
      <c r="B15" s="1" t="s">
        <v>73</v>
      </c>
      <c r="C15" s="1">
        <v>19</v>
      </c>
      <c r="D15" s="2">
        <v>329324</v>
      </c>
      <c r="E15" s="2">
        <f>D15/Serie_A[[#This Row],[Matches]]</f>
        <v>17332.842105263157</v>
      </c>
    </row>
    <row r="16" spans="1:5" x14ac:dyDescent="0.55000000000000004">
      <c r="A16" s="1">
        <v>15</v>
      </c>
      <c r="B16" s="1" t="s">
        <v>74</v>
      </c>
      <c r="C16" s="1">
        <v>19</v>
      </c>
      <c r="D16" s="2">
        <v>278360</v>
      </c>
      <c r="E16" s="2">
        <f>D16/Serie_A[[#This Row],[Matches]]</f>
        <v>14650.526315789473</v>
      </c>
    </row>
    <row r="17" spans="1:5" x14ac:dyDescent="0.55000000000000004">
      <c r="A17" s="1">
        <v>16</v>
      </c>
      <c r="B17" s="1" t="s">
        <v>75</v>
      </c>
      <c r="C17" s="1">
        <v>19</v>
      </c>
      <c r="D17" s="2">
        <v>231277</v>
      </c>
      <c r="E17" s="2">
        <f>D17/Serie_A[[#This Row],[Matches]]</f>
        <v>12172.473684210527</v>
      </c>
    </row>
    <row r="18" spans="1:5" x14ac:dyDescent="0.55000000000000004">
      <c r="A18" s="1">
        <v>17</v>
      </c>
      <c r="B18" s="1" t="s">
        <v>76</v>
      </c>
      <c r="C18" s="1">
        <v>19</v>
      </c>
      <c r="D18" s="2">
        <v>228591</v>
      </c>
      <c r="E18" s="2">
        <f>D18/Serie_A[[#This Row],[Matches]]</f>
        <v>12031.105263157895</v>
      </c>
    </row>
    <row r="19" spans="1:5" x14ac:dyDescent="0.55000000000000004">
      <c r="A19" s="1">
        <v>18</v>
      </c>
      <c r="B19" s="1" t="s">
        <v>77</v>
      </c>
      <c r="C19" s="1">
        <v>19</v>
      </c>
      <c r="D19" s="2">
        <v>225842</v>
      </c>
      <c r="E19" s="2">
        <f>D19/Serie_A[[#This Row],[Matches]]</f>
        <v>11886.421052631578</v>
      </c>
    </row>
    <row r="20" spans="1:5" x14ac:dyDescent="0.55000000000000004">
      <c r="A20" s="1">
        <v>19</v>
      </c>
      <c r="B20" s="1" t="s">
        <v>78</v>
      </c>
      <c r="C20" s="1">
        <v>19</v>
      </c>
      <c r="D20" s="2">
        <v>214050</v>
      </c>
      <c r="E20" s="2">
        <f>D20/Serie_A[[#This Row],[Matches]]</f>
        <v>11265.78947368421</v>
      </c>
    </row>
    <row r="21" spans="1:5" x14ac:dyDescent="0.55000000000000004">
      <c r="A21" s="1">
        <v>20</v>
      </c>
      <c r="B21" s="1" t="s">
        <v>79</v>
      </c>
      <c r="C21" s="1">
        <v>19</v>
      </c>
      <c r="D21" s="2">
        <v>201038</v>
      </c>
      <c r="E21" s="2">
        <f>D21/Serie_A[[#This Row],[Matches]]</f>
        <v>10580.947368421053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614C6-DF5F-433D-9167-FCBB223E5AB4}">
  <sheetPr codeName="Sheet7"/>
  <dimension ref="A1:E21"/>
  <sheetViews>
    <sheetView workbookViewId="0">
      <selection activeCell="G15" sqref="G15"/>
    </sheetView>
  </sheetViews>
  <sheetFormatPr defaultRowHeight="14.4" x14ac:dyDescent="0.55000000000000004"/>
  <cols>
    <col min="1" max="1" width="6.9453125" bestFit="1" customWidth="1"/>
    <col min="2" max="2" width="17" bestFit="1" customWidth="1"/>
    <col min="3" max="3" width="8.578125" customWidth="1"/>
    <col min="4" max="4" width="12.578125" customWidth="1"/>
    <col min="5" max="5" width="12.578125" style="2" customWidth="1"/>
  </cols>
  <sheetData>
    <row r="1" spans="1:5" x14ac:dyDescent="0.55000000000000004">
      <c r="A1" s="1" t="s">
        <v>3</v>
      </c>
      <c r="B1" s="1" t="s">
        <v>0</v>
      </c>
      <c r="C1" s="1" t="s">
        <v>4</v>
      </c>
      <c r="D1" s="1" t="s">
        <v>2</v>
      </c>
      <c r="E1" s="2" t="s">
        <v>1</v>
      </c>
    </row>
    <row r="2" spans="1:5" x14ac:dyDescent="0.55000000000000004">
      <c r="A2" s="1">
        <v>1</v>
      </c>
      <c r="B2" s="1" t="s">
        <v>80</v>
      </c>
      <c r="C2" s="1">
        <v>19</v>
      </c>
      <c r="D2" s="2">
        <v>891669</v>
      </c>
      <c r="E2" s="2">
        <f>Ligue1[[#This Row],[Total]]/Ligue1[[#This Row],[Matches]]</f>
        <v>46929.947368421053</v>
      </c>
    </row>
    <row r="3" spans="1:5" x14ac:dyDescent="0.55000000000000004">
      <c r="A3" s="1">
        <v>2</v>
      </c>
      <c r="B3" s="1" t="s">
        <v>81</v>
      </c>
      <c r="C3" s="1">
        <v>19</v>
      </c>
      <c r="D3" s="2">
        <v>885712</v>
      </c>
      <c r="E3" s="2">
        <f>Ligue1[[#This Row],[Total]]/Ligue1[[#This Row],[Matches]]</f>
        <v>46616.42105263158</v>
      </c>
    </row>
    <row r="4" spans="1:5" x14ac:dyDescent="0.55000000000000004">
      <c r="A4" s="1">
        <v>3</v>
      </c>
      <c r="B4" s="1" t="s">
        <v>82</v>
      </c>
      <c r="C4" s="1">
        <v>19</v>
      </c>
      <c r="D4" s="2">
        <v>874091</v>
      </c>
      <c r="E4" s="2">
        <f>Ligue1[[#This Row],[Total]]/Ligue1[[#This Row],[Matches]]</f>
        <v>46004.789473684214</v>
      </c>
    </row>
    <row r="5" spans="1:5" x14ac:dyDescent="0.55000000000000004">
      <c r="A5" s="1">
        <v>4</v>
      </c>
      <c r="B5" s="1" t="s">
        <v>83</v>
      </c>
      <c r="C5" s="1">
        <v>19</v>
      </c>
      <c r="D5" s="2">
        <v>597608</v>
      </c>
      <c r="E5" s="2">
        <f>Ligue1[[#This Row],[Total]]/Ligue1[[#This Row],[Matches]]</f>
        <v>31453.052631578947</v>
      </c>
    </row>
    <row r="6" spans="1:5" x14ac:dyDescent="0.55000000000000004">
      <c r="A6" s="1">
        <v>5</v>
      </c>
      <c r="B6" s="1" t="s">
        <v>84</v>
      </c>
      <c r="C6" s="1">
        <v>19</v>
      </c>
      <c r="D6" s="2">
        <v>534629</v>
      </c>
      <c r="E6" s="2">
        <f>Ligue1[[#This Row],[Total]]/Ligue1[[#This Row],[Matches]]</f>
        <v>28138.36842105263</v>
      </c>
    </row>
    <row r="7" spans="1:5" x14ac:dyDescent="0.55000000000000004">
      <c r="A7" s="1">
        <v>6</v>
      </c>
      <c r="B7" s="1" t="s">
        <v>85</v>
      </c>
      <c r="C7" s="1">
        <v>19</v>
      </c>
      <c r="D7" s="2">
        <v>494459</v>
      </c>
      <c r="E7" s="2">
        <f>Ligue1[[#This Row],[Total]]/Ligue1[[#This Row],[Matches]]</f>
        <v>26024.157894736843</v>
      </c>
    </row>
    <row r="8" spans="1:5" x14ac:dyDescent="0.55000000000000004">
      <c r="A8" s="1">
        <v>7</v>
      </c>
      <c r="B8" s="1" t="s">
        <v>86</v>
      </c>
      <c r="C8" s="1">
        <v>19</v>
      </c>
      <c r="D8" s="2">
        <v>466626</v>
      </c>
      <c r="E8" s="2">
        <f>Ligue1[[#This Row],[Total]]/Ligue1[[#This Row],[Matches]]</f>
        <v>24559.263157894737</v>
      </c>
    </row>
    <row r="9" spans="1:5" x14ac:dyDescent="0.55000000000000004">
      <c r="A9" s="1">
        <v>8</v>
      </c>
      <c r="B9" s="1" t="s">
        <v>87</v>
      </c>
      <c r="C9" s="1">
        <v>19</v>
      </c>
      <c r="D9" s="2">
        <v>457218</v>
      </c>
      <c r="E9" s="2">
        <f>Ligue1[[#This Row],[Total]]/Ligue1[[#This Row],[Matches]]</f>
        <v>24064.105263157893</v>
      </c>
    </row>
    <row r="10" spans="1:5" x14ac:dyDescent="0.55000000000000004">
      <c r="A10" s="1">
        <v>9</v>
      </c>
      <c r="B10" s="1" t="s">
        <v>88</v>
      </c>
      <c r="C10" s="1">
        <v>19</v>
      </c>
      <c r="D10" s="2">
        <v>439111</v>
      </c>
      <c r="E10" s="2">
        <f>Ligue1[[#This Row],[Total]]/Ligue1[[#This Row],[Matches]]</f>
        <v>23111.105263157893</v>
      </c>
    </row>
    <row r="11" spans="1:5" x14ac:dyDescent="0.55000000000000004">
      <c r="A11" s="1">
        <v>10</v>
      </c>
      <c r="B11" s="1" t="s">
        <v>89</v>
      </c>
      <c r="C11" s="1">
        <v>19</v>
      </c>
      <c r="D11" s="2">
        <v>434653</v>
      </c>
      <c r="E11" s="2">
        <f>Ligue1[[#This Row],[Total]]/Ligue1[[#This Row],[Matches]]</f>
        <v>22876.473684210527</v>
      </c>
    </row>
    <row r="12" spans="1:5" x14ac:dyDescent="0.55000000000000004">
      <c r="A12" s="1">
        <v>11</v>
      </c>
      <c r="B12" s="1" t="s">
        <v>90</v>
      </c>
      <c r="C12" s="1">
        <v>19</v>
      </c>
      <c r="D12" s="2">
        <v>326545</v>
      </c>
      <c r="E12" s="2">
        <f>Ligue1[[#This Row],[Total]]/Ligue1[[#This Row],[Matches]]</f>
        <v>17186.57894736842</v>
      </c>
    </row>
    <row r="13" spans="1:5" x14ac:dyDescent="0.55000000000000004">
      <c r="A13" s="1">
        <v>12</v>
      </c>
      <c r="B13" s="1" t="s">
        <v>91</v>
      </c>
      <c r="C13" s="1">
        <v>19</v>
      </c>
      <c r="D13" s="2">
        <v>321656</v>
      </c>
      <c r="E13" s="2">
        <f>Ligue1[[#This Row],[Total]]/Ligue1[[#This Row],[Matches]]</f>
        <v>16929.263157894737</v>
      </c>
    </row>
    <row r="14" spans="1:5" x14ac:dyDescent="0.55000000000000004">
      <c r="A14" s="1">
        <v>13</v>
      </c>
      <c r="B14" s="1" t="s">
        <v>92</v>
      </c>
      <c r="C14" s="1">
        <v>19</v>
      </c>
      <c r="D14" s="2">
        <v>282033</v>
      </c>
      <c r="E14" s="2">
        <f>Ligue1[[#This Row],[Total]]/Ligue1[[#This Row],[Matches]]</f>
        <v>14843.842105263158</v>
      </c>
    </row>
    <row r="15" spans="1:5" x14ac:dyDescent="0.55000000000000004">
      <c r="A15" s="1">
        <v>14</v>
      </c>
      <c r="B15" s="1" t="s">
        <v>93</v>
      </c>
      <c r="C15" s="1">
        <v>19</v>
      </c>
      <c r="D15" s="2">
        <v>275531</v>
      </c>
      <c r="E15" s="2">
        <f>Ligue1[[#This Row],[Total]]/Ligue1[[#This Row],[Matches]]</f>
        <v>14501.631578947368</v>
      </c>
    </row>
    <row r="16" spans="1:5" x14ac:dyDescent="0.55000000000000004">
      <c r="A16" s="1">
        <v>15</v>
      </c>
      <c r="B16" s="1" t="s">
        <v>94</v>
      </c>
      <c r="C16" s="1">
        <v>19</v>
      </c>
      <c r="D16" s="2">
        <v>255697</v>
      </c>
      <c r="E16" s="2">
        <f>Ligue1[[#This Row],[Total]]/Ligue1[[#This Row],[Matches]]</f>
        <v>13457.736842105263</v>
      </c>
    </row>
    <row r="17" spans="1:5" x14ac:dyDescent="0.55000000000000004">
      <c r="A17" s="1">
        <v>16</v>
      </c>
      <c r="B17" s="1" t="s">
        <v>95</v>
      </c>
      <c r="C17" s="1">
        <v>19</v>
      </c>
      <c r="D17" s="2">
        <v>232338</v>
      </c>
      <c r="E17" s="2">
        <f>Ligue1[[#This Row],[Total]]/Ligue1[[#This Row],[Matches]]</f>
        <v>12228.315789473685</v>
      </c>
    </row>
    <row r="18" spans="1:5" x14ac:dyDescent="0.55000000000000004">
      <c r="A18" s="1">
        <v>17</v>
      </c>
      <c r="B18" s="1" t="s">
        <v>96</v>
      </c>
      <c r="C18" s="1">
        <v>19</v>
      </c>
      <c r="D18" s="2">
        <v>222729</v>
      </c>
      <c r="E18" s="2">
        <f>Ligue1[[#This Row],[Total]]/Ligue1[[#This Row],[Matches]]</f>
        <v>11722.578947368422</v>
      </c>
    </row>
    <row r="19" spans="1:5" x14ac:dyDescent="0.55000000000000004">
      <c r="A19" s="1">
        <v>18</v>
      </c>
      <c r="B19" s="1" t="s">
        <v>97</v>
      </c>
      <c r="C19" s="1">
        <v>19</v>
      </c>
      <c r="D19" s="2">
        <v>210242</v>
      </c>
      <c r="E19" s="2">
        <f>Ligue1[[#This Row],[Total]]/Ligue1[[#This Row],[Matches]]</f>
        <v>11065.368421052632</v>
      </c>
    </row>
    <row r="20" spans="1:5" x14ac:dyDescent="0.55000000000000004">
      <c r="A20" s="1">
        <v>19</v>
      </c>
      <c r="B20" s="1" t="s">
        <v>98</v>
      </c>
      <c r="C20" s="1">
        <v>19</v>
      </c>
      <c r="D20" s="2">
        <v>180891</v>
      </c>
      <c r="E20" s="2">
        <f>Ligue1[[#This Row],[Total]]/Ligue1[[#This Row],[Matches]]</f>
        <v>9520.5789473684217</v>
      </c>
    </row>
    <row r="21" spans="1:5" x14ac:dyDescent="0.55000000000000004">
      <c r="A21" s="1">
        <v>20</v>
      </c>
      <c r="B21" s="1" t="s">
        <v>99</v>
      </c>
      <c r="C21" s="1">
        <v>19</v>
      </c>
      <c r="D21" s="2">
        <v>175618</v>
      </c>
      <c r="E21" s="2">
        <f>Ligue1[[#This Row],[Total]]/Ligue1[[#This Row],[Matches]]</f>
        <v>9243.0526315789466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13EF5-22E2-4B89-BB44-CD7C3CF27CB3}">
  <dimension ref="A1:E19"/>
  <sheetViews>
    <sheetView workbookViewId="0">
      <selection activeCell="I17" sqref="I17"/>
    </sheetView>
  </sheetViews>
  <sheetFormatPr defaultRowHeight="14.4" x14ac:dyDescent="0.55000000000000004"/>
  <cols>
    <col min="1" max="1" width="6.9453125" bestFit="1" customWidth="1"/>
    <col min="2" max="2" width="14.89453125" bestFit="1" customWidth="1"/>
    <col min="3" max="3" width="9.83984375" bestFit="1" customWidth="1"/>
    <col min="4" max="4" width="7" bestFit="1" customWidth="1"/>
    <col min="5" max="5" width="11.68359375" bestFit="1" customWidth="1"/>
  </cols>
  <sheetData>
    <row r="1" spans="1:5" x14ac:dyDescent="0.55000000000000004">
      <c r="A1" s="1" t="s">
        <v>3</v>
      </c>
      <c r="B1" s="1" t="s">
        <v>0</v>
      </c>
      <c r="C1" s="1" t="s">
        <v>4</v>
      </c>
      <c r="D1" s="1" t="s">
        <v>2</v>
      </c>
      <c r="E1" s="1" t="s">
        <v>1</v>
      </c>
    </row>
    <row r="2" spans="1:5" x14ac:dyDescent="0.55000000000000004">
      <c r="A2" s="1">
        <v>1</v>
      </c>
      <c r="B2" s="1" t="s">
        <v>128</v>
      </c>
      <c r="C2" s="1">
        <v>17</v>
      </c>
      <c r="D2" s="1">
        <v>904553</v>
      </c>
      <c r="E2" s="1">
        <v>53209</v>
      </c>
    </row>
    <row r="3" spans="1:5" x14ac:dyDescent="0.55000000000000004">
      <c r="A3" s="1">
        <v>2</v>
      </c>
      <c r="B3" s="1" t="s">
        <v>129</v>
      </c>
      <c r="C3" s="1">
        <v>17</v>
      </c>
      <c r="D3" s="1">
        <v>749665</v>
      </c>
      <c r="E3" s="1">
        <v>44097.941176470587</v>
      </c>
    </row>
    <row r="4" spans="1:5" x14ac:dyDescent="0.55000000000000004">
      <c r="A4" s="1">
        <v>3</v>
      </c>
      <c r="B4" s="1" t="s">
        <v>130</v>
      </c>
      <c r="C4" s="1">
        <v>17</v>
      </c>
      <c r="D4" s="1">
        <v>724741</v>
      </c>
      <c r="E4" s="1">
        <v>42631.823529411762</v>
      </c>
    </row>
    <row r="5" spans="1:5" x14ac:dyDescent="0.55000000000000004">
      <c r="A5" s="1">
        <v>4</v>
      </c>
      <c r="B5" s="1" t="s">
        <v>131</v>
      </c>
      <c r="C5" s="1">
        <v>17</v>
      </c>
      <c r="D5" s="1">
        <v>272255</v>
      </c>
      <c r="E5" s="1">
        <v>16015</v>
      </c>
    </row>
    <row r="6" spans="1:5" x14ac:dyDescent="0.55000000000000004">
      <c r="A6" s="1">
        <v>5</v>
      </c>
      <c r="B6" s="1" t="s">
        <v>132</v>
      </c>
      <c r="C6" s="1">
        <v>17</v>
      </c>
      <c r="D6" s="1">
        <v>198998</v>
      </c>
      <c r="E6" s="1">
        <v>11705.764705882353</v>
      </c>
    </row>
    <row r="7" spans="1:5" x14ac:dyDescent="0.55000000000000004">
      <c r="A7" s="1">
        <v>6</v>
      </c>
      <c r="B7" s="1" t="s">
        <v>133</v>
      </c>
      <c r="C7" s="1">
        <v>17</v>
      </c>
      <c r="D7" s="1">
        <v>119316</v>
      </c>
      <c r="E7" s="1">
        <v>7018.588235294118</v>
      </c>
    </row>
    <row r="8" spans="1:5" x14ac:dyDescent="0.55000000000000004">
      <c r="A8" s="1">
        <v>7</v>
      </c>
      <c r="B8" s="1" t="s">
        <v>134</v>
      </c>
      <c r="C8" s="1">
        <v>17</v>
      </c>
      <c r="D8" s="1">
        <v>95585</v>
      </c>
      <c r="E8" s="1">
        <v>5622.6470588235297</v>
      </c>
    </row>
    <row r="9" spans="1:5" x14ac:dyDescent="0.55000000000000004">
      <c r="A9" s="1">
        <v>8</v>
      </c>
      <c r="B9" s="1" t="s">
        <v>135</v>
      </c>
      <c r="C9" s="1">
        <v>17</v>
      </c>
      <c r="D9" s="1">
        <v>69890</v>
      </c>
      <c r="E9" s="1">
        <v>4111.1764705882351</v>
      </c>
    </row>
    <row r="10" spans="1:5" x14ac:dyDescent="0.55000000000000004">
      <c r="A10" s="1">
        <v>9</v>
      </c>
      <c r="B10" s="1" t="s">
        <v>136</v>
      </c>
      <c r="C10" s="1">
        <v>17</v>
      </c>
      <c r="D10" s="1">
        <v>66412</v>
      </c>
      <c r="E10" s="1">
        <v>3906.5882352941176</v>
      </c>
    </row>
    <row r="11" spans="1:5" x14ac:dyDescent="0.55000000000000004">
      <c r="A11" s="1">
        <v>10</v>
      </c>
      <c r="B11" s="1" t="s">
        <v>137</v>
      </c>
      <c r="C11" s="1">
        <v>17</v>
      </c>
      <c r="D11" s="1">
        <v>66116</v>
      </c>
      <c r="E11" s="1">
        <v>3889.1764705882351</v>
      </c>
    </row>
    <row r="12" spans="1:5" x14ac:dyDescent="0.55000000000000004">
      <c r="A12" s="1">
        <v>11</v>
      </c>
      <c r="B12" s="1" t="s">
        <v>138</v>
      </c>
      <c r="C12" s="1">
        <v>17</v>
      </c>
      <c r="D12" s="1">
        <v>61658</v>
      </c>
      <c r="E12" s="1">
        <v>3626.9411764705883</v>
      </c>
    </row>
    <row r="13" spans="1:5" x14ac:dyDescent="0.55000000000000004">
      <c r="A13" s="1">
        <v>12</v>
      </c>
      <c r="B13" s="1" t="s">
        <v>139</v>
      </c>
      <c r="C13" s="1">
        <v>17</v>
      </c>
      <c r="D13" s="1">
        <v>59612</v>
      </c>
      <c r="E13" s="1">
        <v>3506.5882352941176</v>
      </c>
    </row>
    <row r="14" spans="1:5" x14ac:dyDescent="0.55000000000000004">
      <c r="A14" s="1">
        <v>13</v>
      </c>
      <c r="B14" s="1" t="s">
        <v>140</v>
      </c>
      <c r="C14" s="1">
        <v>17</v>
      </c>
      <c r="D14" s="1">
        <v>56851</v>
      </c>
      <c r="E14" s="1">
        <v>3344.1764705882351</v>
      </c>
    </row>
    <row r="15" spans="1:5" x14ac:dyDescent="0.55000000000000004">
      <c r="A15" s="1">
        <v>14</v>
      </c>
      <c r="B15" s="1" t="s">
        <v>141</v>
      </c>
      <c r="C15" s="1">
        <v>17</v>
      </c>
      <c r="D15" s="1">
        <v>53693</v>
      </c>
      <c r="E15" s="1">
        <v>3158.4117647058824</v>
      </c>
    </row>
    <row r="16" spans="1:5" x14ac:dyDescent="0.55000000000000004">
      <c r="A16" s="1">
        <v>15</v>
      </c>
      <c r="B16" s="1" t="s">
        <v>142</v>
      </c>
      <c r="C16" s="1">
        <v>17</v>
      </c>
      <c r="D16" s="1">
        <v>44803</v>
      </c>
      <c r="E16" s="1">
        <v>2635.4705882352941</v>
      </c>
    </row>
    <row r="17" spans="1:5" x14ac:dyDescent="0.55000000000000004">
      <c r="A17" s="1">
        <v>16</v>
      </c>
      <c r="B17" s="1" t="s">
        <v>143</v>
      </c>
      <c r="C17" s="1">
        <v>17</v>
      </c>
      <c r="D17" s="1">
        <v>40444</v>
      </c>
      <c r="E17" s="1">
        <v>2379.0588235294117</v>
      </c>
    </row>
    <row r="18" spans="1:5" x14ac:dyDescent="0.55000000000000004">
      <c r="A18" s="1">
        <v>17</v>
      </c>
      <c r="B18" s="1" t="s">
        <v>144</v>
      </c>
      <c r="C18" s="1">
        <v>17</v>
      </c>
      <c r="D18" s="1">
        <v>38673</v>
      </c>
      <c r="E18" s="1">
        <v>2274.8823529411766</v>
      </c>
    </row>
    <row r="19" spans="1:5" x14ac:dyDescent="0.55000000000000004">
      <c r="A19" s="1">
        <v>18</v>
      </c>
      <c r="B19" s="1" t="s">
        <v>145</v>
      </c>
      <c r="C19" s="1">
        <v>17</v>
      </c>
      <c r="D19" s="1">
        <v>38494</v>
      </c>
      <c r="E19" s="1">
        <v>2264.3529411764707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78F6A4-0A2A-42FC-B940-F9DAF38832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COMPILED</vt:lpstr>
      <vt:lpstr>MLS</vt:lpstr>
      <vt:lpstr>EPL</vt:lpstr>
      <vt:lpstr>Bundesliga</vt:lpstr>
      <vt:lpstr>La Liga</vt:lpstr>
      <vt:lpstr>Seria A</vt:lpstr>
      <vt:lpstr>Ligue1</vt:lpstr>
      <vt:lpstr>Portugal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Magill</dc:creator>
  <cp:lastModifiedBy>Bill Magill</cp:lastModifiedBy>
  <dcterms:created xsi:type="dcterms:W3CDTF">2018-07-16T21:12:51Z</dcterms:created>
  <dcterms:modified xsi:type="dcterms:W3CDTF">2018-07-19T22:48:47Z</dcterms:modified>
</cp:coreProperties>
</file>